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26EE8F7-91A4-4D36-8031-157965FE6555}" xr6:coauthVersionLast="47" xr6:coauthVersionMax="47" xr10:uidLastSave="{00000000-0000-0000-0000-000000000000}"/>
  <bookViews>
    <workbookView xWindow="-120" yWindow="-120" windowWidth="29040" windowHeight="15840" xr2:uid="{EB8C7C1B-3594-457A-B8A9-27B0096C250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" i="1" l="1"/>
  <c r="AG17" i="1"/>
  <c r="AF17" i="1"/>
  <c r="AE17" i="1"/>
  <c r="AG16" i="1"/>
  <c r="AF16" i="1"/>
  <c r="AE16" i="1"/>
  <c r="AD12" i="1"/>
  <c r="AE12" i="1"/>
  <c r="AF12" i="1" s="1"/>
  <c r="AE8" i="1"/>
  <c r="AD8" i="1"/>
  <c r="W22" i="1"/>
  <c r="Y22" i="1" s="1"/>
  <c r="W21" i="1"/>
  <c r="X21" i="1" s="1"/>
  <c r="Z21" i="1" s="1"/>
  <c r="W18" i="1"/>
  <c r="X18" i="1"/>
  <c r="W19" i="1" s="1"/>
  <c r="Y18" i="1"/>
  <c r="Z18" i="1"/>
  <c r="Y17" i="1"/>
  <c r="X17" i="1"/>
  <c r="W17" i="1"/>
  <c r="Z16" i="1"/>
  <c r="Y16" i="1"/>
  <c r="X16" i="1"/>
  <c r="W12" i="1"/>
  <c r="X12" i="1"/>
  <c r="X8" i="1"/>
  <c r="W8" i="1"/>
  <c r="R19" i="1"/>
  <c r="Q19" i="1"/>
  <c r="R16" i="1"/>
  <c r="Q16" i="1"/>
  <c r="P17" i="1" s="1"/>
  <c r="P12" i="1"/>
  <c r="Q12" i="1"/>
  <c r="I18" i="1"/>
  <c r="J18" i="1" s="1"/>
  <c r="L18" i="1" s="1"/>
  <c r="K17" i="1"/>
  <c r="J17" i="1"/>
  <c r="L17" i="1" s="1"/>
  <c r="I8" i="1"/>
  <c r="Q8" i="1"/>
  <c r="P8" i="1"/>
  <c r="L16" i="1"/>
  <c r="K16" i="1"/>
  <c r="I17" i="1" s="1"/>
  <c r="J12" i="1"/>
  <c r="J8" i="1"/>
  <c r="I12" i="1"/>
  <c r="E16" i="1"/>
  <c r="E17" i="1"/>
  <c r="D16" i="1"/>
  <c r="B17" i="1" s="1"/>
  <c r="B8" i="1"/>
  <c r="D8" i="1" s="1"/>
  <c r="C8" i="1"/>
  <c r="C12" i="1"/>
  <c r="B12" i="1"/>
  <c r="D12" i="1" s="1"/>
  <c r="AD19" i="1" l="1"/>
  <c r="AF18" i="1"/>
  <c r="AE18" i="1"/>
  <c r="AG18" i="1" s="1"/>
  <c r="AD17" i="1"/>
  <c r="AF8" i="1"/>
  <c r="X22" i="1"/>
  <c r="Z22" i="1" s="1"/>
  <c r="Y21" i="1"/>
  <c r="Y19" i="1"/>
  <c r="X19" i="1"/>
  <c r="Z19" i="1" s="1"/>
  <c r="Y12" i="1"/>
  <c r="Y8" i="1"/>
  <c r="Q17" i="1"/>
  <c r="P18" i="1" s="1"/>
  <c r="R17" i="1"/>
  <c r="S16" i="1"/>
  <c r="K8" i="1"/>
  <c r="S17" i="1"/>
  <c r="K18" i="1"/>
  <c r="R8" i="1"/>
  <c r="K12" i="1"/>
  <c r="D17" i="1"/>
  <c r="R12" i="1"/>
  <c r="C17" i="1"/>
  <c r="E18" i="1" s="1"/>
  <c r="AF19" i="1" l="1"/>
  <c r="AE19" i="1"/>
  <c r="AG19" i="1" s="1"/>
  <c r="W20" i="1"/>
  <c r="Z17" i="1"/>
  <c r="Q18" i="1"/>
  <c r="S18" i="1" s="1"/>
  <c r="R18" i="1"/>
  <c r="P19" i="1" s="1"/>
  <c r="S19" i="1"/>
  <c r="B18" i="1"/>
  <c r="X20" i="1" l="1"/>
  <c r="Z20" i="1" s="1"/>
  <c r="Y20" i="1"/>
  <c r="D18" i="1"/>
  <c r="C18" i="1"/>
</calcChain>
</file>

<file path=xl/sharedStrings.xml><?xml version="1.0" encoding="utf-8"?>
<sst xmlns="http://schemas.openxmlformats.org/spreadsheetml/2006/main" count="75" uniqueCount="17">
  <si>
    <t>a</t>
  </si>
  <si>
    <t>b</t>
  </si>
  <si>
    <t>e</t>
  </si>
  <si>
    <t>f(a)</t>
  </si>
  <si>
    <t>f(b)</t>
  </si>
  <si>
    <t>условие</t>
  </si>
  <si>
    <t>f``(a)</t>
  </si>
  <si>
    <t>f``(b)</t>
  </si>
  <si>
    <t>x</t>
  </si>
  <si>
    <t>f(x)</t>
  </si>
  <si>
    <t>f`(x)</t>
  </si>
  <si>
    <t>итерация</t>
  </si>
  <si>
    <t>x = 2,020747</t>
  </si>
  <si>
    <t>x = 1,143067</t>
  </si>
  <si>
    <t>x = 0,39964</t>
  </si>
  <si>
    <t>x = -0,01102</t>
  </si>
  <si>
    <t>x = 3,058452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</si>
</sst>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E123-E72B-40BE-9BBB-C6B12D6F61FE}">
  <dimension ref="B4:AH24"/>
  <sheetViews>
    <sheetView tabSelected="1" topLeftCell="P1" zoomScaleNormal="100" workbookViewId="0">
      <selection activeCell="AJ22" sqref="AJ22"/>
    </sheetView>
  </sheetViews>
  <sheetFormatPr defaultRowHeight="15" x14ac:dyDescent="0.25"/>
  <cols>
    <col min="4" max="4" width="11.140625" customWidth="1"/>
    <col min="17" max="17" width="12" bestFit="1" customWidth="1"/>
  </cols>
  <sheetData>
    <row r="4" spans="2:34" x14ac:dyDescent="0.25">
      <c r="B4" t="s">
        <v>0</v>
      </c>
      <c r="C4" t="s">
        <v>1</v>
      </c>
      <c r="D4" t="s">
        <v>2</v>
      </c>
      <c r="I4" t="s">
        <v>0</v>
      </c>
      <c r="J4" t="s">
        <v>1</v>
      </c>
      <c r="K4" t="s">
        <v>2</v>
      </c>
      <c r="P4" t="s">
        <v>0</v>
      </c>
      <c r="Q4" t="s">
        <v>1</v>
      </c>
      <c r="R4" t="s">
        <v>2</v>
      </c>
      <c r="W4" t="s">
        <v>0</v>
      </c>
      <c r="X4" t="s">
        <v>1</v>
      </c>
      <c r="Y4" t="s">
        <v>2</v>
      </c>
      <c r="AD4" t="s">
        <v>0</v>
      </c>
      <c r="AE4" t="s">
        <v>1</v>
      </c>
      <c r="AF4" t="s">
        <v>2</v>
      </c>
    </row>
    <row r="5" spans="2:34" x14ac:dyDescent="0.25">
      <c r="B5">
        <v>2</v>
      </c>
      <c r="C5">
        <v>6</v>
      </c>
      <c r="D5">
        <v>1E-3</v>
      </c>
      <c r="I5">
        <v>1</v>
      </c>
      <c r="J5">
        <v>3</v>
      </c>
      <c r="K5">
        <v>1E-3</v>
      </c>
      <c r="P5">
        <v>0.3</v>
      </c>
      <c r="Q5">
        <v>0.8</v>
      </c>
      <c r="R5">
        <v>1E-3</v>
      </c>
      <c r="W5">
        <v>-2</v>
      </c>
      <c r="X5">
        <v>-1</v>
      </c>
      <c r="Y5">
        <v>1E-3</v>
      </c>
      <c r="AD5">
        <v>3</v>
      </c>
      <c r="AE5">
        <v>4</v>
      </c>
      <c r="AF5">
        <v>1E-3</v>
      </c>
    </row>
    <row r="7" spans="2:34" x14ac:dyDescent="0.25">
      <c r="B7" t="s">
        <v>3</v>
      </c>
      <c r="C7" t="s">
        <v>6</v>
      </c>
      <c r="D7" t="s">
        <v>5</v>
      </c>
      <c r="I7" t="s">
        <v>3</v>
      </c>
      <c r="J7" t="s">
        <v>6</v>
      </c>
      <c r="K7" t="s">
        <v>5</v>
      </c>
      <c r="P7" t="s">
        <v>3</v>
      </c>
      <c r="Q7" t="s">
        <v>6</v>
      </c>
      <c r="R7" t="s">
        <v>5</v>
      </c>
      <c r="W7" t="s">
        <v>3</v>
      </c>
      <c r="X7" t="s">
        <v>6</v>
      </c>
      <c r="Y7" t="s">
        <v>5</v>
      </c>
      <c r="AD7" t="s">
        <v>3</v>
      </c>
      <c r="AE7" t="s">
        <v>6</v>
      </c>
      <c r="AF7" t="s">
        <v>5</v>
      </c>
    </row>
    <row r="8" spans="2:34" x14ac:dyDescent="0.25">
      <c r="B8">
        <f>LN(B5)^2-1/B5</f>
        <v>-1.9546986081798612E-2</v>
      </c>
      <c r="C8">
        <f>2*(1-LN(B5))/B5^2-2/B5^3</f>
        <v>-9.6573590279972643E-2</v>
      </c>
      <c r="D8" t="str">
        <f>IF(B8*C8 &gt; 0,"истина","ложь")</f>
        <v>истина</v>
      </c>
      <c r="I8">
        <f>ATAN(I5)-1/I5</f>
        <v>-0.21460183660255172</v>
      </c>
      <c r="J8">
        <f>-2*I5/(1+I5^2)^2-2/I5^3</f>
        <v>-2.5</v>
      </c>
      <c r="K8" t="str">
        <f>IF(I8*J8 &gt; 0,"истина","ложь")</f>
        <v>истина</v>
      </c>
      <c r="P8">
        <f>P5^2+1-ACOS(P5)</f>
        <v>-0.1761036727794989</v>
      </c>
      <c r="Q8">
        <f>2+P5/(1-P5^2)^(3/2)</f>
        <v>2.3455884077105225</v>
      </c>
      <c r="R8" t="str">
        <f>IF(P8*Q8 &gt; 0,"истина","ложь")</f>
        <v>ложь</v>
      </c>
      <c r="W8">
        <f>W5^2-COS(2*W5)+1</f>
        <v>5.6536436208636118</v>
      </c>
      <c r="X8">
        <f>2+4*COS(2*W5)</f>
        <v>-0.61457448345444776</v>
      </c>
      <c r="Y8" t="str">
        <f>IF(W8*X8 &gt; 0,"истина","ложь")</f>
        <v>ложь</v>
      </c>
      <c r="AD8">
        <f>0.5^AD5+1-(AD5-2)^2</f>
        <v>0.125</v>
      </c>
      <c r="AE8">
        <f>0.5^AD5*LN(0.5)^2-2</f>
        <v>-1.9399433732602249</v>
      </c>
      <c r="AF8" t="str">
        <f>IF(AD8*AE8 &gt; 0,"истина","ложь")</f>
        <v>ложь</v>
      </c>
    </row>
    <row r="11" spans="2:34" x14ac:dyDescent="0.25">
      <c r="B11" t="s">
        <v>4</v>
      </c>
      <c r="C11" t="s">
        <v>7</v>
      </c>
      <c r="D11" t="s">
        <v>5</v>
      </c>
      <c r="I11" t="s">
        <v>4</v>
      </c>
      <c r="J11" t="s">
        <v>7</v>
      </c>
      <c r="K11" t="s">
        <v>5</v>
      </c>
      <c r="P11" t="s">
        <v>4</v>
      </c>
      <c r="Q11" t="s">
        <v>7</v>
      </c>
      <c r="R11" t="s">
        <v>5</v>
      </c>
      <c r="W11" t="s">
        <v>4</v>
      </c>
      <c r="X11" t="s">
        <v>7</v>
      </c>
      <c r="Y11" t="s">
        <v>5</v>
      </c>
      <c r="AD11" t="s">
        <v>4</v>
      </c>
      <c r="AE11" t="s">
        <v>7</v>
      </c>
      <c r="AF11" t="s">
        <v>5</v>
      </c>
    </row>
    <row r="12" spans="2:34" x14ac:dyDescent="0.25">
      <c r="B12">
        <f>LN(C5)^2-1/C5</f>
        <v>3.0437353289017346</v>
      </c>
      <c r="C12">
        <f>2*(1-LN(C5))/C5^2-2/C5^3</f>
        <v>-5.3245896438595647E-2</v>
      </c>
      <c r="D12" t="str">
        <f>IF(B12*C12 &gt; 0,"истина","ложь")</f>
        <v>ложь</v>
      </c>
      <c r="I12">
        <f>ATAN(J5)-1/J5</f>
        <v>0.91571243906492117</v>
      </c>
      <c r="J12">
        <f>-2*J5/(1+J5^2)^2-2/J5^3</f>
        <v>-0.13407407407407407</v>
      </c>
      <c r="K12" t="str">
        <f>IF(I12*J12 &gt; 0,"истина","ложь")</f>
        <v>ложь</v>
      </c>
      <c r="P12">
        <f>Q5^2+1-ACOS(Q5)</f>
        <v>0.99649889120671586</v>
      </c>
      <c r="Q12">
        <f>2+Q5/(1-Q5^2)^(3/2)</f>
        <v>5.7037037037037059</v>
      </c>
      <c r="R12" t="str">
        <f>IF(P12*Q12 &gt; 0,"истина","ложь")</f>
        <v>истина</v>
      </c>
      <c r="W12">
        <f>X5^2-COS(2*X5)+1</f>
        <v>2.4161468365471421</v>
      </c>
      <c r="X12">
        <f>2+4*COS(2*X5)</f>
        <v>0.33541265381143037</v>
      </c>
      <c r="Y12" t="str">
        <f>IF(W12*X12 &gt; 0,"истина","ложь")</f>
        <v>истина</v>
      </c>
      <c r="AD12">
        <f>0.5^AE5+1-(AE5-2)^2</f>
        <v>-2.9375</v>
      </c>
      <c r="AE12">
        <f>0.5^AE5*LN(0.5)^2-2</f>
        <v>-1.9699716866301125</v>
      </c>
      <c r="AF12" t="str">
        <f>IF(AD12*AE12 &gt; 0,"истина","ложь")</f>
        <v>истина</v>
      </c>
    </row>
    <row r="15" spans="2:34" x14ac:dyDescent="0.25">
      <c r="B15" t="s">
        <v>8</v>
      </c>
      <c r="C15" t="s">
        <v>9</v>
      </c>
      <c r="D15" t="s">
        <v>10</v>
      </c>
      <c r="E15" t="s">
        <v>5</v>
      </c>
      <c r="F15" t="s">
        <v>11</v>
      </c>
      <c r="I15" t="s">
        <v>8</v>
      </c>
      <c r="J15" t="s">
        <v>9</v>
      </c>
      <c r="K15" t="s">
        <v>10</v>
      </c>
      <c r="L15" t="s">
        <v>5</v>
      </c>
      <c r="M15" t="s">
        <v>11</v>
      </c>
      <c r="P15" t="s">
        <v>8</v>
      </c>
      <c r="Q15" t="s">
        <v>9</v>
      </c>
      <c r="R15" t="s">
        <v>10</v>
      </c>
      <c r="S15" t="s">
        <v>5</v>
      </c>
      <c r="T15" t="s">
        <v>11</v>
      </c>
      <c r="W15" t="s">
        <v>8</v>
      </c>
      <c r="X15" t="s">
        <v>9</v>
      </c>
      <c r="Y15" t="s">
        <v>10</v>
      </c>
      <c r="Z15" t="s">
        <v>5</v>
      </c>
      <c r="AA15" t="s">
        <v>11</v>
      </c>
      <c r="AD15" t="s">
        <v>8</v>
      </c>
      <c r="AE15" t="s">
        <v>9</v>
      </c>
      <c r="AF15" t="s">
        <v>10</v>
      </c>
      <c r="AG15" t="s">
        <v>5</v>
      </c>
      <c r="AH15" t="s">
        <v>11</v>
      </c>
    </row>
    <row r="16" spans="2:34" x14ac:dyDescent="0.25">
      <c r="B16">
        <v>2</v>
      </c>
      <c r="C16">
        <v>-1.9550000000000001E-2</v>
      </c>
      <c r="D16">
        <f>2*LN(B5)/B5+1/B5^2</f>
        <v>0.94314718055994529</v>
      </c>
      <c r="E16" t="str">
        <f>IF(ABS(C16)&lt;$D$5,"выпол","не выпол")</f>
        <v>не выпол</v>
      </c>
      <c r="F16">
        <v>1</v>
      </c>
      <c r="I16">
        <v>1</v>
      </c>
      <c r="J16">
        <v>-0.21460000000000001</v>
      </c>
      <c r="K16">
        <f>1/(1+I5^2)+1/I5^2</f>
        <v>1.5</v>
      </c>
      <c r="L16" t="str">
        <f>IF(ABS(J16)&lt;$K$5,"выпол","не выпол")</f>
        <v>не выпол</v>
      </c>
      <c r="M16">
        <v>1</v>
      </c>
      <c r="P16">
        <v>0.8</v>
      </c>
      <c r="Q16">
        <f>P16^2+1-ACOS(P16)</f>
        <v>0.99649889120671586</v>
      </c>
      <c r="R16">
        <f>2*P16+1/SQRT(1-P16^2)</f>
        <v>3.2666666666666671</v>
      </c>
      <c r="S16" t="str">
        <f>IF(ABS(Q16)&lt;$R$5,"выпол","не выпол")</f>
        <v>не выпол</v>
      </c>
      <c r="T16">
        <v>1</v>
      </c>
      <c r="W16">
        <v>-1</v>
      </c>
      <c r="X16">
        <f>W16^2-COS(2*W16)+1</f>
        <v>2.4161468365471421</v>
      </c>
      <c r="Y16">
        <f>2*W16+2*SIN(2*W16)</f>
        <v>-3.8185948536513634</v>
      </c>
      <c r="Z16" t="str">
        <f>IF(ABS(X16)&lt;$Y$5,"выпол","не выпол")</f>
        <v>не выпол</v>
      </c>
      <c r="AA16">
        <v>1</v>
      </c>
      <c r="AD16">
        <v>4</v>
      </c>
      <c r="AE16">
        <f>0.5^AD16+1-(AD16-2)^2</f>
        <v>-2.9375</v>
      </c>
      <c r="AF16">
        <f>0.5^AD16*LN(0.5)-2*(AD16-2)</f>
        <v>-4.0433216987849967</v>
      </c>
      <c r="AG16" t="str">
        <f>IF(ABS(AE16)&lt;$AF$5,"выпол","не выпол")</f>
        <v>не выпол</v>
      </c>
      <c r="AH16">
        <v>1</v>
      </c>
    </row>
    <row r="17" spans="2:34" x14ac:dyDescent="0.25">
      <c r="B17">
        <f>B16 - C16/D16</f>
        <v>2.0207284720804584</v>
      </c>
      <c r="C17">
        <f>LN(B17)^2-1/B17</f>
        <v>-1.7774841599871305E-5</v>
      </c>
      <c r="D17">
        <f>2*LN(B17)/B17+1/B17^2</f>
        <v>0.94113940507107874</v>
      </c>
      <c r="E17" t="str">
        <f>IF(ABS(C16)&lt;$D$5,"выпол","не выпол")</f>
        <v>не выпол</v>
      </c>
      <c r="F17">
        <v>2</v>
      </c>
      <c r="I17">
        <f>I16 - J16/K16</f>
        <v>1.1430666666666667</v>
      </c>
      <c r="J17">
        <f>ATAN(I17)-1/I17</f>
        <v>-2.2782439540394939E-2</v>
      </c>
      <c r="K17">
        <f>1/(1+I17^2)+1/I17^2</f>
        <v>1.1988826256182017</v>
      </c>
      <c r="L17" t="str">
        <f t="shared" ref="L17" si="0">IF(ABS(J17)&lt;$K$5,"выпол","не выпол")</f>
        <v>не выпол</v>
      </c>
      <c r="M17">
        <v>2</v>
      </c>
      <c r="P17">
        <f>P16 - Q16/R16</f>
        <v>0.49494931901835237</v>
      </c>
      <c r="Q17">
        <f t="shared" ref="Q17:Q19" si="1">P17^2+1-ACOS(P17)</f>
        <v>0.19195500598196258</v>
      </c>
      <c r="R17">
        <f t="shared" ref="R17" si="2">2*P17+1/SQRT(1-P17^2)</f>
        <v>2.140750128872849</v>
      </c>
      <c r="S17" t="str">
        <f t="shared" ref="S17" si="3">IF(ABS(Q17)&lt;$R$5,"выпол","не выпол")</f>
        <v>не выпол</v>
      </c>
      <c r="T17">
        <v>2</v>
      </c>
      <c r="W17">
        <f>W16 - X16/Y16</f>
        <v>-0.36726808442723169</v>
      </c>
      <c r="X17">
        <f>W17^2-COS(2*W17)+1</f>
        <v>0.39274413303757594</v>
      </c>
      <c r="Y17">
        <f>2*W17+2*SIN(2*W17)</f>
        <v>-2.0750221674689868</v>
      </c>
      <c r="Z17" t="str">
        <f t="shared" ref="Z17:Z19" si="4">IF(ABS(X17)&lt;$R$5,"выпол","не выпол")</f>
        <v>не выпол</v>
      </c>
      <c r="AA17">
        <v>2</v>
      </c>
      <c r="AD17">
        <f>AD16 - AE16/AF16</f>
        <v>3.2734933752902453</v>
      </c>
      <c r="AE17">
        <f t="shared" ref="AE17:AE19" si="5">0.5^AD17+1-(AD17-2)^2</f>
        <v>-0.51837114671963258</v>
      </c>
      <c r="AF17">
        <f t="shared" ref="AF17:AF18" si="6">0.5^AD17*LN(0.5)-2*(AD17-2)</f>
        <v>-2.6186680326654326</v>
      </c>
      <c r="AG17" t="str">
        <f t="shared" ref="AG17:AG18" si="7">IF(ABS(AE17)&lt;$AF$5,"выпол","не выпол")</f>
        <v>не выпол</v>
      </c>
      <c r="AH17">
        <v>2</v>
      </c>
    </row>
    <row r="18" spans="2:34" x14ac:dyDescent="0.25">
      <c r="B18">
        <f t="shared" ref="B18" si="8">B17 - C17/D17</f>
        <v>2.0207473585934488</v>
      </c>
      <c r="C18">
        <f t="shared" ref="C18" si="9">LN(B18)^2-1/B18</f>
        <v>-1.7325252343880493E-11</v>
      </c>
      <c r="D18">
        <f t="shared" ref="D18" si="10">2*LN(B18)/B18+1/B18^2</f>
        <v>0.94113757042016399</v>
      </c>
      <c r="E18" t="str">
        <f t="shared" ref="E18" si="11">IF(ABS(C17)&lt;$D$5,"выпол","не выпол")</f>
        <v>выпол</v>
      </c>
      <c r="F18">
        <v>3</v>
      </c>
      <c r="I18">
        <f t="shared" ref="I18" si="12">I17 - J17/K17</f>
        <v>1.1620697275615122</v>
      </c>
      <c r="J18">
        <f t="shared" ref="J18" si="13">ATAN(I18)-1/I18</f>
        <v>-3.1487449314326899E-4</v>
      </c>
      <c r="K18">
        <f t="shared" ref="K18" si="14">1/(1+I18^2)+1/I18^2</f>
        <v>1.1659764092419564</v>
      </c>
      <c r="L18" t="str">
        <f t="shared" ref="L18" si="15">IF(ABS(J18)&lt;$K$5,"выпол","не выпол")</f>
        <v>выпол</v>
      </c>
      <c r="M18">
        <v>3</v>
      </c>
      <c r="P18">
        <f t="shared" ref="P18:P19" si="16">P17 - Q17/R17</f>
        <v>0.40528214890213193</v>
      </c>
      <c r="Q18">
        <f t="shared" si="1"/>
        <v>1.0744735050601584E-2</v>
      </c>
      <c r="R18">
        <f t="shared" ref="R18:R19" si="17">2*P18+1/SQRT(1-P18^2)</f>
        <v>1.9044268329750245</v>
      </c>
      <c r="S18" t="str">
        <f t="shared" ref="S18:S19" si="18">IF(ABS(Q18)&lt;$R$5,"выпол","не выпол")</f>
        <v>не выпол</v>
      </c>
      <c r="T18">
        <v>3</v>
      </c>
      <c r="W18">
        <f t="shared" ref="W18:W20" si="19">W17 - X17/Y17</f>
        <v>-0.17799582546306528</v>
      </c>
      <c r="X18">
        <f t="shared" ref="X18:X20" si="20">W18^2-COS(2*W18)+1</f>
        <v>9.4381174341443108E-2</v>
      </c>
      <c r="Y18">
        <f t="shared" ref="Y18:Y20" si="21">2*W18+2*SIN(2*W18)</f>
        <v>-1.0530316753005038</v>
      </c>
      <c r="Z18" t="str">
        <f t="shared" ref="Z18:Z22" si="22">IF(ABS(X18)&lt;$R$5,"выпол","не выпол")</f>
        <v>не выпол</v>
      </c>
      <c r="AA18">
        <v>3</v>
      </c>
      <c r="AD18">
        <f t="shared" ref="AD18:AD19" si="23">AD17 - AE17/AF17</f>
        <v>3.0755411567373634</v>
      </c>
      <c r="AE18">
        <f t="shared" si="5"/>
        <v>-3.81655187988581E-2</v>
      </c>
      <c r="AF18">
        <f t="shared" ref="AF18:AF19" si="24">0.5^AD18*LN(0.5)-2*(AD18-2)</f>
        <v>-2.2333056924114105</v>
      </c>
      <c r="AG18" t="str">
        <f t="shared" ref="AG18:AG19" si="25">IF(ABS(AE18)&lt;$AF$5,"выпол","не выпол")</f>
        <v>не выпол</v>
      </c>
      <c r="AH18">
        <v>3</v>
      </c>
    </row>
    <row r="19" spans="2:34" x14ac:dyDescent="0.25">
      <c r="P19">
        <f t="shared" si="16"/>
        <v>0.39964017050497996</v>
      </c>
      <c r="Q19">
        <f>P19^2+1-ACOS(P19)</f>
        <v>4.0212607775425013E-5</v>
      </c>
      <c r="R19">
        <f>2*P19+1/SQRT(1-P19^2)</f>
        <v>1.8901829689572507</v>
      </c>
      <c r="S19" t="str">
        <f t="shared" si="18"/>
        <v>выпол</v>
      </c>
      <c r="T19">
        <v>4</v>
      </c>
      <c r="W19">
        <f t="shared" si="19"/>
        <v>-8.836777670137011E-2</v>
      </c>
      <c r="X19">
        <f t="shared" si="20"/>
        <v>2.3385981942646628E-2</v>
      </c>
      <c r="Y19">
        <f t="shared" si="21"/>
        <v>-0.5283693934257665</v>
      </c>
      <c r="Z19" t="str">
        <f t="shared" si="22"/>
        <v>не выпол</v>
      </c>
      <c r="AA19">
        <v>4</v>
      </c>
      <c r="AD19">
        <f t="shared" si="23"/>
        <v>3.0584519069635676</v>
      </c>
      <c r="AE19">
        <f t="shared" si="5"/>
        <v>-2.8368732678396569E-4</v>
      </c>
      <c r="AF19">
        <f t="shared" si="24"/>
        <v>-2.2001069501589368</v>
      </c>
      <c r="AG19" t="str">
        <f t="shared" si="25"/>
        <v>выпол</v>
      </c>
      <c r="AH19">
        <v>4</v>
      </c>
    </row>
    <row r="20" spans="2:34" x14ac:dyDescent="0.25">
      <c r="B20" t="s">
        <v>12</v>
      </c>
      <c r="W20">
        <f t="shared" si="19"/>
        <v>-4.4107109384855209E-2</v>
      </c>
      <c r="X20">
        <f t="shared" si="20"/>
        <v>5.8337887989201587E-3</v>
      </c>
      <c r="Y20">
        <f t="shared" si="21"/>
        <v>-0.26441392503867689</v>
      </c>
      <c r="Z20" t="str">
        <f t="shared" si="22"/>
        <v>не выпол</v>
      </c>
      <c r="AA20">
        <v>5</v>
      </c>
    </row>
    <row r="21" spans="2:34" x14ac:dyDescent="0.25">
      <c r="W21">
        <f>W20 - X20/Y20</f>
        <v>-2.2044017215761515E-2</v>
      </c>
      <c r="X21">
        <f>W21^2-COS(2*W21)+1</f>
        <v>1.4576586709489359E-3</v>
      </c>
      <c r="Y21">
        <f>2*W21+2*SIN(2*W21)</f>
        <v>-0.13223554062809517</v>
      </c>
      <c r="Z21" t="str">
        <f t="shared" si="22"/>
        <v>не выпол</v>
      </c>
      <c r="AA21">
        <v>6</v>
      </c>
    </row>
    <row r="22" spans="2:34" x14ac:dyDescent="0.25">
      <c r="I22" t="s">
        <v>13</v>
      </c>
      <c r="W22">
        <f>W21 - X21/Y21</f>
        <v>-1.1020818278279823E-2</v>
      </c>
      <c r="X22">
        <f>W22^2-COS(2*W22)+1</f>
        <v>3.6436547196017077E-4</v>
      </c>
      <c r="Y22">
        <f>2*W22+2*SIN(2*W22)</f>
        <v>-6.6121340232797657E-2</v>
      </c>
      <c r="Z22" t="str">
        <f t="shared" si="22"/>
        <v>выпол</v>
      </c>
      <c r="AA22">
        <v>7</v>
      </c>
    </row>
    <row r="23" spans="2:34" x14ac:dyDescent="0.25">
      <c r="P23" t="s">
        <v>14</v>
      </c>
      <c r="AD23" t="s">
        <v>16</v>
      </c>
    </row>
    <row r="24" spans="2:34" x14ac:dyDescent="0.25">
      <c r="W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2026-10-05T09:19:35Z</dcterms:created>
  <dcterms:modified xsi:type="dcterms:W3CDTF">2026-10-05T10:13:59Z</dcterms:modified>
</cp:coreProperties>
</file>