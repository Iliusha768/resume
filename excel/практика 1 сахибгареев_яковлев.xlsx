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E237F6B-8301-485F-B04B-A2412FF17B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1" l="1"/>
  <c r="H16" i="1"/>
  <c r="Q16" i="1"/>
  <c r="P16" i="1"/>
  <c r="R16" i="1" s="1"/>
  <c r="Q46" i="1"/>
  <c r="N43" i="1"/>
  <c r="P46" i="1"/>
  <c r="R46" i="1" s="1"/>
  <c r="S46" i="1" s="1"/>
  <c r="O43" i="1"/>
  <c r="E43" i="1"/>
  <c r="F43" i="1"/>
  <c r="F48" i="1"/>
  <c r="H48" i="1" s="1"/>
  <c r="I48" i="1" s="1"/>
  <c r="G48" i="1"/>
  <c r="Y18" i="1"/>
  <c r="X18" i="1"/>
  <c r="Z18" i="1" s="1"/>
  <c r="AA18" i="1" s="1"/>
  <c r="W13" i="1"/>
  <c r="V13" i="1"/>
  <c r="P43" i="1" l="1"/>
  <c r="D49" i="1"/>
  <c r="G49" i="1" s="1"/>
  <c r="N47" i="1"/>
  <c r="O47" i="1"/>
  <c r="W19" i="1"/>
  <c r="G43" i="1"/>
  <c r="V19" i="1"/>
  <c r="E49" i="1"/>
  <c r="X13" i="1"/>
  <c r="D11" i="1"/>
  <c r="E11" i="1"/>
  <c r="O10" i="1"/>
  <c r="N10" i="1"/>
  <c r="F16" i="1"/>
  <c r="G16" i="1"/>
  <c r="F49" i="1" l="1"/>
  <c r="H49" i="1" s="1"/>
  <c r="I49" i="1" s="1"/>
  <c r="Q47" i="1"/>
  <c r="P47" i="1"/>
  <c r="R47" i="1" s="1"/>
  <c r="S47" i="1" s="1"/>
  <c r="X19" i="1"/>
  <c r="Z19" i="1" s="1"/>
  <c r="AA19" i="1" s="1"/>
  <c r="Y19" i="1"/>
  <c r="O17" i="1"/>
  <c r="S16" i="1"/>
  <c r="N17" i="1"/>
  <c r="F11" i="1"/>
  <c r="P10" i="1"/>
  <c r="E17" i="1"/>
  <c r="D17" i="1"/>
  <c r="G17" i="1" s="1"/>
  <c r="E50" i="1" l="1"/>
  <c r="D50" i="1"/>
  <c r="F50" i="1" s="1"/>
  <c r="H50" i="1" s="1"/>
  <c r="I50" i="1" s="1"/>
  <c r="N48" i="1"/>
  <c r="O48" i="1"/>
  <c r="V20" i="1"/>
  <c r="W20" i="1"/>
  <c r="F17" i="1"/>
  <c r="H17" i="1" s="1"/>
  <c r="I17" i="1" s="1"/>
  <c r="P17" i="1"/>
  <c r="R17" i="1" s="1"/>
  <c r="S17" i="1" s="1"/>
  <c r="Q17" i="1"/>
  <c r="E18" i="1"/>
  <c r="O18" i="1" l="1"/>
  <c r="G50" i="1"/>
  <c r="P48" i="1"/>
  <c r="R48" i="1" s="1"/>
  <c r="S48" i="1" s="1"/>
  <c r="Q48" i="1"/>
  <c r="D51" i="1"/>
  <c r="E51" i="1"/>
  <c r="Y20" i="1"/>
  <c r="X20" i="1"/>
  <c r="Z20" i="1" s="1"/>
  <c r="AA20" i="1" s="1"/>
  <c r="D18" i="1"/>
  <c r="G18" i="1" s="1"/>
  <c r="N18" i="1"/>
  <c r="P18" i="1" s="1"/>
  <c r="O49" i="1" l="1"/>
  <c r="N49" i="1"/>
  <c r="W21" i="1"/>
  <c r="V21" i="1"/>
  <c r="F51" i="1"/>
  <c r="H51" i="1" s="1"/>
  <c r="I51" i="1" s="1"/>
  <c r="G51" i="1"/>
  <c r="F18" i="1"/>
  <c r="H18" i="1" s="1"/>
  <c r="I18" i="1" s="1"/>
  <c r="Q18" i="1"/>
  <c r="R18" i="1"/>
  <c r="S18" i="1" s="1"/>
  <c r="Q49" i="1" l="1"/>
  <c r="P49" i="1"/>
  <c r="R49" i="1" s="1"/>
  <c r="S49" i="1" s="1"/>
  <c r="E52" i="1"/>
  <c r="D52" i="1"/>
  <c r="Y21" i="1"/>
  <c r="X21" i="1"/>
  <c r="Z21" i="1" s="1"/>
  <c r="AA21" i="1" s="1"/>
  <c r="E19" i="1"/>
  <c r="D19" i="1"/>
  <c r="F19" i="1" s="1"/>
  <c r="H19" i="1" s="1"/>
  <c r="I19" i="1" s="1"/>
  <c r="N19" i="1"/>
  <c r="O19" i="1"/>
  <c r="N50" i="1" l="1"/>
  <c r="O50" i="1"/>
  <c r="V22" i="1"/>
  <c r="W22" i="1"/>
  <c r="F52" i="1"/>
  <c r="H52" i="1" s="1"/>
  <c r="I52" i="1" s="1"/>
  <c r="G52" i="1"/>
  <c r="G19" i="1"/>
  <c r="E20" i="1" s="1"/>
  <c r="Q19" i="1"/>
  <c r="P19" i="1"/>
  <c r="R19" i="1" s="1"/>
  <c r="S19" i="1" s="1"/>
  <c r="D20" i="1" l="1"/>
  <c r="P50" i="1"/>
  <c r="R50" i="1" s="1"/>
  <c r="S50" i="1" s="1"/>
  <c r="Q50" i="1"/>
  <c r="D53" i="1"/>
  <c r="E53" i="1"/>
  <c r="X22" i="1"/>
  <c r="Z22" i="1" s="1"/>
  <c r="AA22" i="1" s="1"/>
  <c r="Y22" i="1"/>
  <c r="N20" i="1"/>
  <c r="O20" i="1"/>
  <c r="G20" i="1"/>
  <c r="F20" i="1"/>
  <c r="H20" i="1" s="1"/>
  <c r="I20" i="1" s="1"/>
  <c r="N51" i="1" l="1"/>
  <c r="O51" i="1"/>
  <c r="F53" i="1"/>
  <c r="H53" i="1" s="1"/>
  <c r="I53" i="1" s="1"/>
  <c r="G53" i="1"/>
  <c r="P20" i="1"/>
  <c r="R20" i="1" s="1"/>
  <c r="S20" i="1" s="1"/>
  <c r="Q20" i="1"/>
  <c r="D21" i="1"/>
  <c r="E21" i="1"/>
  <c r="P51" i="1" l="1"/>
  <c r="R51" i="1" s="1"/>
  <c r="S51" i="1" s="1"/>
  <c r="Q51" i="1"/>
  <c r="E54" i="1"/>
  <c r="D54" i="1"/>
  <c r="N21" i="1"/>
  <c r="O21" i="1"/>
  <c r="F21" i="1"/>
  <c r="H21" i="1" s="1"/>
  <c r="I21" i="1" s="1"/>
  <c r="G21" i="1"/>
  <c r="N52" i="1" l="1"/>
  <c r="O52" i="1"/>
  <c r="F54" i="1"/>
  <c r="H54" i="1" s="1"/>
  <c r="I54" i="1" s="1"/>
  <c r="G54" i="1"/>
  <c r="P21" i="1"/>
  <c r="R21" i="1" s="1"/>
  <c r="S21" i="1" s="1"/>
  <c r="Q21" i="1"/>
  <c r="E22" i="1"/>
  <c r="D22" i="1"/>
  <c r="P52" i="1" l="1"/>
  <c r="R52" i="1" s="1"/>
  <c r="S52" i="1" s="1"/>
  <c r="Q52" i="1"/>
  <c r="E55" i="1"/>
  <c r="D55" i="1"/>
  <c r="N22" i="1"/>
  <c r="O22" i="1"/>
  <c r="G22" i="1"/>
  <c r="F22" i="1"/>
  <c r="H22" i="1" s="1"/>
  <c r="I22" i="1" s="1"/>
  <c r="O53" i="1" l="1"/>
  <c r="N53" i="1"/>
  <c r="F55" i="1"/>
  <c r="H55" i="1" s="1"/>
  <c r="I55" i="1" s="1"/>
  <c r="G55" i="1"/>
  <c r="Q22" i="1"/>
  <c r="P22" i="1"/>
  <c r="R22" i="1" s="1"/>
  <c r="S22" i="1" s="1"/>
  <c r="E23" i="1"/>
  <c r="D23" i="1"/>
  <c r="Q53" i="1" l="1"/>
  <c r="P53" i="1"/>
  <c r="R53" i="1" s="1"/>
  <c r="S53" i="1" s="1"/>
  <c r="E56" i="1"/>
  <c r="D56" i="1"/>
  <c r="N23" i="1"/>
  <c r="O23" i="1"/>
  <c r="G23" i="1"/>
  <c r="F23" i="1"/>
  <c r="H23" i="1" s="1"/>
  <c r="I23" i="1" s="1"/>
  <c r="O54" i="1" l="1"/>
  <c r="N54" i="1"/>
  <c r="G56" i="1"/>
  <c r="F56" i="1"/>
  <c r="H56" i="1" s="1"/>
  <c r="I56" i="1" s="1"/>
  <c r="P23" i="1"/>
  <c r="R23" i="1" s="1"/>
  <c r="S23" i="1" s="1"/>
  <c r="Q23" i="1"/>
  <c r="E24" i="1"/>
  <c r="D24" i="1"/>
  <c r="P54" i="1" l="1"/>
  <c r="R54" i="1" s="1"/>
  <c r="S54" i="1" s="1"/>
  <c r="Q54" i="1"/>
  <c r="E57" i="1"/>
  <c r="D57" i="1"/>
  <c r="O24" i="1"/>
  <c r="N24" i="1"/>
  <c r="F24" i="1"/>
  <c r="H24" i="1" s="1"/>
  <c r="I24" i="1" s="1"/>
  <c r="G24" i="1"/>
  <c r="N55" i="1" l="1"/>
  <c r="O55" i="1"/>
  <c r="G57" i="1"/>
  <c r="F57" i="1"/>
  <c r="H57" i="1" s="1"/>
  <c r="I57" i="1" s="1"/>
  <c r="P24" i="1"/>
  <c r="R24" i="1" s="1"/>
  <c r="S24" i="1" s="1"/>
  <c r="Q24" i="1"/>
  <c r="D25" i="1"/>
  <c r="E25" i="1"/>
  <c r="P55" i="1" l="1"/>
  <c r="R55" i="1" s="1"/>
  <c r="S55" i="1" s="1"/>
  <c r="Q55" i="1"/>
  <c r="N25" i="1"/>
  <c r="O25" i="1"/>
  <c r="G25" i="1"/>
  <c r="F25" i="1"/>
  <c r="H25" i="1" s="1"/>
  <c r="I25" i="1" s="1"/>
  <c r="N56" i="1" l="1"/>
  <c r="O56" i="1"/>
  <c r="P25" i="1"/>
  <c r="R25" i="1" s="1"/>
  <c r="S25" i="1" s="1"/>
  <c r="Q25" i="1"/>
  <c r="D26" i="1"/>
  <c r="E26" i="1"/>
  <c r="P56" i="1" l="1"/>
  <c r="R56" i="1" s="1"/>
  <c r="S56" i="1" s="1"/>
  <c r="Q56" i="1"/>
  <c r="N26" i="1"/>
  <c r="O26" i="1"/>
  <c r="F26" i="1"/>
  <c r="H26" i="1" s="1"/>
  <c r="I26" i="1" s="1"/>
  <c r="G26" i="1"/>
  <c r="N57" i="1" l="1"/>
  <c r="O57" i="1"/>
  <c r="P26" i="1"/>
  <c r="R26" i="1" s="1"/>
  <c r="S26" i="1" s="1"/>
  <c r="Q26" i="1"/>
  <c r="P57" i="1" l="1"/>
  <c r="R57" i="1" s="1"/>
  <c r="S57" i="1" s="1"/>
  <c r="Q57" i="1"/>
  <c r="N27" i="1"/>
  <c r="Q27" i="1" s="1"/>
  <c r="O27" i="1"/>
  <c r="N58" i="1" l="1"/>
  <c r="Q58" i="1" s="1"/>
  <c r="O58" i="1"/>
  <c r="P58" i="1" s="1"/>
  <c r="R58" i="1" s="1"/>
  <c r="S58" i="1" s="1"/>
  <c r="P27" i="1"/>
  <c r="R27" i="1" s="1"/>
  <c r="S27" i="1" s="1"/>
  <c r="N59" i="1" l="1"/>
  <c r="O59" i="1"/>
  <c r="O28" i="1"/>
  <c r="N28" i="1"/>
  <c r="Q28" i="1" s="1"/>
  <c r="P28" i="1" l="1"/>
  <c r="P59" i="1"/>
  <c r="R59" i="1" s="1"/>
  <c r="S59" i="1" s="1"/>
  <c r="Q59" i="1"/>
  <c r="R28" i="1" l="1"/>
  <c r="S28" i="1" s="1"/>
  <c r="N60" i="1"/>
  <c r="O60" i="1"/>
  <c r="Q60" i="1" l="1"/>
  <c r="P60" i="1"/>
  <c r="R60" i="1" s="1"/>
  <c r="S60" i="1" s="1"/>
  <c r="O61" i="1" l="1"/>
  <c r="N61" i="1"/>
  <c r="P61" i="1" l="1"/>
  <c r="R61" i="1" s="1"/>
  <c r="S61" i="1" s="1"/>
  <c r="Q61" i="1"/>
</calcChain>
</file>

<file path=xl/sharedStrings.xml><?xml version="1.0" encoding="utf-8"?>
<sst xmlns="http://schemas.openxmlformats.org/spreadsheetml/2006/main" count="84" uniqueCount="19">
  <si>
    <t>уравнение</t>
  </si>
  <si>
    <t>a</t>
  </si>
  <si>
    <t>b</t>
  </si>
  <si>
    <t>e</t>
  </si>
  <si>
    <t>условие на сходимость</t>
  </si>
  <si>
    <t>f(a)</t>
  </si>
  <si>
    <t>f(b)</t>
  </si>
  <si>
    <t>условие</t>
  </si>
  <si>
    <t>решение уравнения</t>
  </si>
  <si>
    <t>x</t>
  </si>
  <si>
    <t>f(x)</t>
  </si>
  <si>
    <t>условие точности</t>
  </si>
  <si>
    <t>итерация</t>
  </si>
  <si>
    <t>x = 3,819336</t>
  </si>
  <si>
    <t xml:space="preserve">решение уравнения </t>
  </si>
  <si>
    <t>x = 0.61901855</t>
  </si>
  <si>
    <t>x = 0.739257813</t>
  </si>
  <si>
    <t>x = 1.59375</t>
  </si>
  <si>
    <t>x = 0.02775574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</si>
</sst>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0" fillId="6" borderId="1" xfId="0" applyFill="1" applyBorder="1"/>
    <xf numFmtId="0" fontId="0" fillId="7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68839</xdr:colOff>
      <xdr:row>2</xdr:row>
      <xdr:rowOff>8225</xdr:rowOff>
    </xdr:from>
    <xdr:ext cx="1002069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2575646" y="389225"/>
              <a:ext cx="100206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3</m:t>
                      </m:r>
                    </m:sup>
                  </m:sSup>
                  <m:r>
                    <a:rPr lang="en-US" sz="1100" b="0" i="1">
                      <a:latin typeface="Cambria Math" panose="02040503050406030204" pitchFamily="18" charset="0"/>
                    </a:rPr>
                    <m:t>−4</m:t>
                  </m:r>
                  <m:sSup>
                    <m:sSupPr>
                      <m:ctrlP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𝑥</m:t>
                      </m:r>
                    </m:e>
                    <m:sup>
                      <m: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1100"/>
                <a:t>+2x-5=0</a:t>
              </a:r>
              <a:endParaRPr lang="ru-R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316B3-F378-4ED4-B48F-AB7E99C6FB5B}"/>
                </a:ext>
              </a:extLst>
            </xdr:cNvPr>
            <xdr:cNvSpPr txBox="1"/>
          </xdr:nvSpPr>
          <xdr:spPr>
            <a:xfrm>
              <a:off x="2575646" y="389225"/>
              <a:ext cx="100206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𝑥^3−4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𝑥^2</a:t>
              </a:r>
              <a:r>
                <a:rPr lang="en-US" sz="1100"/>
                <a:t>+2x-5=0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130865</xdr:colOff>
      <xdr:row>33</xdr:row>
      <xdr:rowOff>188844</xdr:rowOff>
    </xdr:from>
    <xdr:ext cx="841834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 txBox="1"/>
          </xdr:nvSpPr>
          <xdr:spPr>
            <a:xfrm>
              <a:off x="9216887" y="379344"/>
              <a:ext cx="8418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i="0">
                            <a:latin typeface="Cambria Math" panose="02040503050406030204" pitchFamily="18" charset="0"/>
                          </a:rPr>
                          <m:t>cos</m:t>
                        </m:r>
                      </m:fName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=0</m:t>
                        </m:r>
                      </m:e>
                    </m:func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 txBox="1"/>
          </xdr:nvSpPr>
          <xdr:spPr>
            <a:xfrm>
              <a:off x="9216887" y="379344"/>
              <a:ext cx="8418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cos⁡〖</a:t>
              </a:r>
              <a:r>
                <a:rPr lang="en-US" sz="1100" b="0" i="0">
                  <a:latin typeface="Cambria Math" panose="02040503050406030204" pitchFamily="18" charset="0"/>
                </a:rPr>
                <a:t>𝑥−𝑥=0〗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14</xdr:col>
      <xdr:colOff>130865</xdr:colOff>
      <xdr:row>0</xdr:row>
      <xdr:rowOff>188844</xdr:rowOff>
    </xdr:from>
    <xdr:ext cx="769570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 txBox="1"/>
          </xdr:nvSpPr>
          <xdr:spPr>
            <a:xfrm>
              <a:off x="13333343" y="379344"/>
              <a:ext cx="7695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−3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 txBox="1"/>
          </xdr:nvSpPr>
          <xdr:spPr>
            <a:xfrm>
              <a:off x="13333343" y="379344"/>
              <a:ext cx="7695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𝑒^</a:t>
              </a:r>
              <a:r>
                <a:rPr lang="en-US" sz="1100" b="0" i="0">
                  <a:latin typeface="Cambria Math" panose="02040503050406030204" pitchFamily="18" charset="0"/>
                </a:rPr>
                <a:t>𝑥−3𝑥=0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22</xdr:col>
      <xdr:colOff>6625</xdr:colOff>
      <xdr:row>3</xdr:row>
      <xdr:rowOff>163996</xdr:rowOff>
    </xdr:from>
    <xdr:ext cx="1268898" cy="267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/>
          </xdr:nvSpPr>
          <xdr:spPr>
            <a:xfrm>
              <a:off x="22477342" y="354496"/>
              <a:ext cx="1268898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i="0">
                            <a:latin typeface="Cambria Math"/>
                          </a:rPr>
                          <m:t>ln</m:t>
                        </m:r>
                      </m:fName>
                      <m:e>
                        <m:r>
                          <a:rPr lang="en-US" sz="1100" b="0" i="1">
                            <a:latin typeface="Cambria Math"/>
                          </a:rPr>
                          <m:t>𝑥</m:t>
                        </m:r>
                      </m:e>
                    </m:func>
                    <m:r>
                      <a:rPr lang="en-US" sz="1100" b="0" i="1">
                        <a:latin typeface="Cambria Math"/>
                      </a:rPr>
                      <m:t>+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/>
                      </a:rPr>
                      <m:t>−3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/>
          </xdr:nvSpPr>
          <xdr:spPr>
            <a:xfrm>
              <a:off x="22477342" y="354496"/>
              <a:ext cx="1268898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i="0">
                  <a:latin typeface="Cambria Math"/>
                </a:rPr>
                <a:t>ln</a:t>
              </a:r>
              <a:r>
                <a:rPr lang="en-US" sz="1100" i="0">
                  <a:latin typeface="Cambria Math" panose="02040503050406030204" pitchFamily="18" charset="0"/>
                </a:rPr>
                <a:t>⁡</a:t>
              </a:r>
              <a:r>
                <a:rPr lang="en-US" sz="1100" b="0" i="0">
                  <a:latin typeface="Cambria Math"/>
                </a:rPr>
                <a:t>𝑥+𝑥</a:t>
              </a:r>
              <a:r>
                <a:rPr lang="en-US" sz="1100" b="0" i="0">
                  <a:latin typeface="Cambria Math" panose="02040503050406030204" pitchFamily="18" charset="0"/>
                </a:rPr>
                <a:t>^</a:t>
              </a:r>
              <a:r>
                <a:rPr lang="en-US" sz="1100" b="0" i="0">
                  <a:latin typeface="Cambria Math"/>
                </a:rPr>
                <a:t>2−3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13</xdr:col>
      <xdr:colOff>1104899</xdr:colOff>
      <xdr:row>32</xdr:row>
      <xdr:rowOff>9525</xdr:rowOff>
    </xdr:from>
    <xdr:ext cx="1933575" cy="42069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 txBox="1"/>
          </xdr:nvSpPr>
          <xdr:spPr>
            <a:xfrm>
              <a:off x="29984699" y="390525"/>
              <a:ext cx="1933575" cy="4206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/>
                      </a:rPr>
                      <m:t>𝑥</m:t>
                    </m:r>
                    <m:r>
                      <a:rPr lang="en-US" sz="1100" b="0" i="1">
                        <a:latin typeface="Cambria Math"/>
                      </a:rPr>
                      <m:t>−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/>
                          </a:rPr>
                          <m:t>1</m:t>
                        </m:r>
                      </m:num>
                      <m:den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/>
                              </a:rPr>
                              <m:t>𝑥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/>
                              </a:rPr>
                              <m:t>4</m:t>
                            </m:r>
                          </m:sup>
                        </m:sSup>
                        <m:r>
                          <a:rPr lang="en-US" sz="1100" b="0" i="1">
                            <a:latin typeface="Cambria Math"/>
                          </a:rPr>
                          <m:t>−13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/>
                              </a:rPr>
                              <m:t>𝑥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/>
                              </a:rPr>
                              <m:t>2</m:t>
                            </m:r>
                          </m:sup>
                        </m:sSup>
                        <m:r>
                          <a:rPr lang="en-US" sz="1100" b="0" i="1">
                            <a:latin typeface="Cambria Math"/>
                          </a:rPr>
                          <m:t>+36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 txBox="1"/>
          </xdr:nvSpPr>
          <xdr:spPr>
            <a:xfrm>
              <a:off x="29984699" y="390525"/>
              <a:ext cx="1933575" cy="4206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latin typeface="Cambria Math"/>
                </a:rPr>
                <a:t>𝑥−  1</a:t>
              </a:r>
              <a:r>
                <a:rPr lang="en-US" sz="1100" b="0" i="0">
                  <a:latin typeface="Cambria Math" panose="02040503050406030204" pitchFamily="18" charset="0"/>
                </a:rPr>
                <a:t>/(</a:t>
              </a:r>
              <a:r>
                <a:rPr lang="en-US" sz="1100" b="0" i="0">
                  <a:latin typeface="Cambria Math"/>
                </a:rPr>
                <a:t>𝑥</a:t>
              </a:r>
              <a:r>
                <a:rPr lang="en-US" sz="1100" b="0" i="0">
                  <a:latin typeface="Cambria Math" panose="02040503050406030204" pitchFamily="18" charset="0"/>
                </a:rPr>
                <a:t>^</a:t>
              </a:r>
              <a:r>
                <a:rPr lang="en-US" sz="1100" b="0" i="0">
                  <a:latin typeface="Cambria Math"/>
                </a:rPr>
                <a:t>4−13𝑥</a:t>
              </a:r>
              <a:r>
                <a:rPr lang="en-US" sz="1100" b="0" i="0">
                  <a:latin typeface="Cambria Math" panose="02040503050406030204" pitchFamily="18" charset="0"/>
                </a:rPr>
                <a:t>^</a:t>
              </a:r>
              <a:r>
                <a:rPr lang="en-US" sz="1100" b="0" i="0">
                  <a:latin typeface="Cambria Math"/>
                </a:rPr>
                <a:t>2+36</a:t>
              </a:r>
              <a:r>
                <a:rPr lang="en-US" sz="1100" b="0" i="0">
                  <a:latin typeface="Cambria Math" panose="02040503050406030204" pitchFamily="18" charset="0"/>
                </a:rPr>
                <a:t>)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AB64"/>
  <sheetViews>
    <sheetView tabSelected="1" topLeftCell="K31" zoomScale="115" zoomScaleNormal="115" workbookViewId="0">
      <selection activeCell="N63" sqref="N63:O64"/>
    </sheetView>
  </sheetViews>
  <sheetFormatPr defaultRowHeight="15" x14ac:dyDescent="0.25"/>
  <cols>
    <col min="4" max="4" width="10.140625" customWidth="1"/>
    <col min="5" max="5" width="16.85546875" customWidth="1"/>
    <col min="6" max="6" width="13.28515625" customWidth="1"/>
    <col min="7" max="7" width="14.42578125" customWidth="1"/>
    <col min="8" max="8" width="11.85546875" customWidth="1"/>
    <col min="9" max="9" width="16.42578125" customWidth="1"/>
    <col min="12" max="12" width="12" customWidth="1"/>
    <col min="13" max="13" width="10" customWidth="1"/>
    <col min="14" max="14" width="15.7109375" customWidth="1"/>
    <col min="15" max="15" width="11.85546875" customWidth="1"/>
    <col min="16" max="16" width="10.5703125" customWidth="1"/>
    <col min="17" max="17" width="17" customWidth="1"/>
    <col min="18" max="18" width="13.140625" bestFit="1" customWidth="1"/>
    <col min="19" max="19" width="9.140625" customWidth="1"/>
    <col min="20" max="20" width="14.85546875" customWidth="1"/>
    <col min="21" max="21" width="12" customWidth="1"/>
    <col min="22" max="22" width="12.28515625" customWidth="1"/>
    <col min="23" max="23" width="13.140625" customWidth="1"/>
    <col min="24" max="24" width="13.7109375" customWidth="1"/>
    <col min="25" max="25" width="18.140625" customWidth="1"/>
    <col min="28" max="28" width="15.140625" customWidth="1"/>
    <col min="29" max="29" width="17.28515625" customWidth="1"/>
    <col min="30" max="30" width="12.28515625" customWidth="1"/>
    <col min="32" max="32" width="14.42578125" customWidth="1"/>
    <col min="33" max="33" width="18.5703125" customWidth="1"/>
    <col min="36" max="36" width="21.85546875" customWidth="1"/>
    <col min="37" max="37" width="13.140625" customWidth="1"/>
    <col min="38" max="38" width="11.5703125" customWidth="1"/>
    <col min="39" max="40" width="10" customWidth="1"/>
    <col min="41" max="41" width="18.140625" customWidth="1"/>
  </cols>
  <sheetData>
    <row r="2" spans="4:24" x14ac:dyDescent="0.25">
      <c r="N2" t="s">
        <v>0</v>
      </c>
    </row>
    <row r="3" spans="4:24" x14ac:dyDescent="0.25">
      <c r="D3" t="s">
        <v>0</v>
      </c>
    </row>
    <row r="4" spans="4:24" x14ac:dyDescent="0.25">
      <c r="N4" s="5" t="s">
        <v>1</v>
      </c>
      <c r="O4" s="5" t="s">
        <v>2</v>
      </c>
      <c r="P4" s="5" t="s">
        <v>3</v>
      </c>
    </row>
    <row r="5" spans="4:24" x14ac:dyDescent="0.25">
      <c r="D5" s="2" t="s">
        <v>1</v>
      </c>
      <c r="E5" s="2" t="s">
        <v>2</v>
      </c>
      <c r="F5" s="2" t="s">
        <v>3</v>
      </c>
      <c r="N5" s="1">
        <v>0</v>
      </c>
      <c r="O5" s="1">
        <v>1</v>
      </c>
      <c r="P5" s="1">
        <v>1E-4</v>
      </c>
      <c r="V5" t="s">
        <v>0</v>
      </c>
    </row>
    <row r="6" spans="4:24" x14ac:dyDescent="0.25">
      <c r="D6" s="1">
        <v>2</v>
      </c>
      <c r="E6" s="1">
        <v>4</v>
      </c>
      <c r="F6" s="1">
        <v>0.01</v>
      </c>
    </row>
    <row r="7" spans="4:24" x14ac:dyDescent="0.25">
      <c r="N7" t="s">
        <v>4</v>
      </c>
      <c r="V7" s="2" t="s">
        <v>1</v>
      </c>
      <c r="W7" s="2" t="s">
        <v>2</v>
      </c>
      <c r="X7" s="2" t="s">
        <v>3</v>
      </c>
    </row>
    <row r="8" spans="4:24" x14ac:dyDescent="0.25">
      <c r="D8" t="s">
        <v>4</v>
      </c>
      <c r="V8" s="1">
        <v>1</v>
      </c>
      <c r="W8" s="1">
        <v>2</v>
      </c>
      <c r="X8" s="1">
        <v>0.01</v>
      </c>
    </row>
    <row r="9" spans="4:24" x14ac:dyDescent="0.25">
      <c r="N9" s="1" t="s">
        <v>5</v>
      </c>
      <c r="O9" s="1" t="s">
        <v>6</v>
      </c>
      <c r="P9" s="13" t="s">
        <v>7</v>
      </c>
    </row>
    <row r="10" spans="4:24" x14ac:dyDescent="0.25">
      <c r="D10" s="1" t="s">
        <v>5</v>
      </c>
      <c r="E10" s="1" t="s">
        <v>6</v>
      </c>
      <c r="F10" s="13" t="s">
        <v>7</v>
      </c>
      <c r="N10" s="1">
        <f>EXP(N5)-3*N5</f>
        <v>1</v>
      </c>
      <c r="O10" s="1">
        <f>EXP(O5)-3*O5</f>
        <v>-0.28171817154095491</v>
      </c>
      <c r="P10" s="1" t="str">
        <f>IF(N10*O10 &lt; 0,"выполнено","не выполнено")</f>
        <v>выполнено</v>
      </c>
      <c r="V10" s="10" t="s">
        <v>4</v>
      </c>
      <c r="W10" s="10"/>
    </row>
    <row r="11" spans="4:24" x14ac:dyDescent="0.25">
      <c r="D11" s="1">
        <f>D6^3-4*D6^2+2*D6-5</f>
        <v>-9</v>
      </c>
      <c r="E11" s="1">
        <f>E6^3-4*E6^2+2*E6-5</f>
        <v>3</v>
      </c>
      <c r="F11" s="1" t="str">
        <f>IF(D11*E11 &lt; 0,"выполнено","не выполнено")</f>
        <v>выполнено</v>
      </c>
    </row>
    <row r="12" spans="4:24" x14ac:dyDescent="0.25">
      <c r="N12" s="10" t="s">
        <v>14</v>
      </c>
      <c r="O12" s="10"/>
      <c r="P12" s="6"/>
      <c r="V12" s="1" t="s">
        <v>5</v>
      </c>
      <c r="W12" s="1" t="s">
        <v>6</v>
      </c>
      <c r="X12" s="3" t="s">
        <v>7</v>
      </c>
    </row>
    <row r="13" spans="4:24" x14ac:dyDescent="0.25">
      <c r="D13" s="10" t="s">
        <v>8</v>
      </c>
      <c r="E13" s="10"/>
      <c r="V13" s="1">
        <f>LN(V8)+V8^2-3</f>
        <v>-2</v>
      </c>
      <c r="W13" s="1">
        <f>LN(W8)+W8^2-3</f>
        <v>1.6931471805599454</v>
      </c>
      <c r="X13" s="1" t="str">
        <f>IF(V13*W13&lt;0,
"выполнено","не выполнено")</f>
        <v>выполнено</v>
      </c>
    </row>
    <row r="15" spans="4:24" x14ac:dyDescent="0.25">
      <c r="D15" s="4" t="s">
        <v>1</v>
      </c>
      <c r="E15" s="4" t="s">
        <v>2</v>
      </c>
      <c r="F15" s="4" t="s">
        <v>9</v>
      </c>
      <c r="G15" s="4" t="s">
        <v>5</v>
      </c>
      <c r="H15" s="4" t="s">
        <v>10</v>
      </c>
      <c r="I15" s="4" t="s">
        <v>11</v>
      </c>
      <c r="J15" s="4" t="s">
        <v>12</v>
      </c>
      <c r="N15" s="4" t="s">
        <v>1</v>
      </c>
      <c r="O15" s="4" t="s">
        <v>2</v>
      </c>
      <c r="P15" s="4" t="s">
        <v>9</v>
      </c>
      <c r="Q15" s="4" t="s">
        <v>5</v>
      </c>
      <c r="R15" s="4" t="s">
        <v>10</v>
      </c>
      <c r="S15" s="4" t="s">
        <v>11</v>
      </c>
      <c r="T15" s="4" t="s">
        <v>12</v>
      </c>
      <c r="V15" s="10" t="s">
        <v>8</v>
      </c>
      <c r="W15" s="10"/>
    </row>
    <row r="16" spans="4:24" x14ac:dyDescent="0.25">
      <c r="D16" s="1">
        <v>2</v>
      </c>
      <c r="E16" s="1">
        <v>4</v>
      </c>
      <c r="F16" s="1">
        <f>(D16+E16)/2</f>
        <v>3</v>
      </c>
      <c r="G16" s="1">
        <f>D16^3-4*D16^2+2*D16-5</f>
        <v>-9</v>
      </c>
      <c r="H16" s="1">
        <f>F16^3-4*F16^2+2*F16-5</f>
        <v>-8</v>
      </c>
      <c r="I16" s="1" t="str">
        <f>IF(ABS(H16)&lt;=$F$6,"выпол","не выпол")</f>
        <v>не выпол</v>
      </c>
      <c r="J16" s="1">
        <v>1</v>
      </c>
      <c r="N16" s="1">
        <v>0</v>
      </c>
      <c r="O16" s="1">
        <v>1</v>
      </c>
      <c r="P16" s="1">
        <f>(N16+O16)/2</f>
        <v>0.5</v>
      </c>
      <c r="Q16" s="1">
        <f>EXP(N16)-3*N16</f>
        <v>1</v>
      </c>
      <c r="R16" s="1">
        <f>EXP(P16)-3*P16</f>
        <v>0.14872127070012819</v>
      </c>
      <c r="S16" s="1" t="str">
        <f>IF(ABS(R16) &lt; $P$5, "выполнено", "не выполнено")</f>
        <v>не выполнено</v>
      </c>
      <c r="T16" s="1">
        <v>1</v>
      </c>
    </row>
    <row r="17" spans="4:28" x14ac:dyDescent="0.25">
      <c r="D17" s="1">
        <f>IF(G16*H16&lt;0,D16,F16)</f>
        <v>3</v>
      </c>
      <c r="E17" s="1">
        <f>IF(G16*H16&lt;0,F16,E16)</f>
        <v>4</v>
      </c>
      <c r="F17" s="1">
        <f t="shared" ref="F17:F25" si="0">(D17+E17)/2</f>
        <v>3.5</v>
      </c>
      <c r="G17" s="1">
        <f t="shared" ref="G17:G25" si="1">D17^3-4*D17^2+2*D17-5</f>
        <v>-8</v>
      </c>
      <c r="H17" s="1">
        <f t="shared" ref="H17:H25" si="2">F17^3-4*F17^2+2*F17-5</f>
        <v>-4.125</v>
      </c>
      <c r="I17" s="1" t="str">
        <f t="shared" ref="I17:I26" si="3">IF(ABS(H17)&lt;=$F$6,"выпол","не выпол")</f>
        <v>не выпол</v>
      </c>
      <c r="J17" s="1">
        <v>2</v>
      </c>
      <c r="N17" s="1">
        <f>IF(Q16*R16&lt;0,N16,P16)</f>
        <v>0.5</v>
      </c>
      <c r="O17" s="1">
        <f>IF(Q16*R16&lt;0,P16,O16)</f>
        <v>1</v>
      </c>
      <c r="P17" s="1">
        <f>(N17+O17)/2</f>
        <v>0.75</v>
      </c>
      <c r="Q17" s="1">
        <f>EXP(N17)-3*N17</f>
        <v>0.14872127070012819</v>
      </c>
      <c r="R17" s="1">
        <f>EXP(P17)-3*P17</f>
        <v>-0.13299998338732522</v>
      </c>
      <c r="S17" s="1" t="str">
        <f>IF(ABS(R17) &lt; $P$5, "выполнено", "не выполнено")</f>
        <v>не выполнено</v>
      </c>
      <c r="T17" s="1">
        <v>2</v>
      </c>
      <c r="V17" s="4" t="s">
        <v>1</v>
      </c>
      <c r="W17" s="4" t="s">
        <v>2</v>
      </c>
      <c r="X17" s="4" t="s">
        <v>9</v>
      </c>
      <c r="Y17" s="4" t="s">
        <v>5</v>
      </c>
      <c r="Z17" s="4" t="s">
        <v>10</v>
      </c>
      <c r="AA17" s="4" t="s">
        <v>11</v>
      </c>
      <c r="AB17" s="4" t="s">
        <v>12</v>
      </c>
    </row>
    <row r="18" spans="4:28" x14ac:dyDescent="0.25">
      <c r="D18" s="1">
        <f t="shared" ref="D18:D25" si="4">IF(G17*H17&lt;0,D17,F17)</f>
        <v>3.5</v>
      </c>
      <c r="E18" s="1">
        <f t="shared" ref="E18:E25" si="5">IF(G17*H17&lt;0,F17,E17)</f>
        <v>4</v>
      </c>
      <c r="F18" s="1">
        <f t="shared" si="0"/>
        <v>3.75</v>
      </c>
      <c r="G18" s="1">
        <f t="shared" si="1"/>
        <v>-4.125</v>
      </c>
      <c r="H18" s="1">
        <f t="shared" si="2"/>
        <v>-1.015625</v>
      </c>
      <c r="I18" s="1" t="str">
        <f t="shared" si="3"/>
        <v>не выпол</v>
      </c>
      <c r="J18" s="1">
        <v>3</v>
      </c>
      <c r="N18" s="1">
        <f t="shared" ref="N18:N26" si="6">IF(Q17*R17&lt;0,N17,P17)</f>
        <v>0.5</v>
      </c>
      <c r="O18" s="1">
        <f>IF(Q17*R17&lt;0,P17,O17)</f>
        <v>0.75</v>
      </c>
      <c r="P18" s="1">
        <f>(N18+O18)/2</f>
        <v>0.625</v>
      </c>
      <c r="Q18" s="1">
        <f t="shared" ref="Q18:Q26" si="7">EXP(N18)-3*N18</f>
        <v>0.14872127070012819</v>
      </c>
      <c r="R18" s="1">
        <f t="shared" ref="R18:R26" si="8">EXP(P18)-3*P18</f>
        <v>-6.7540425677776739E-3</v>
      </c>
      <c r="S18" s="1" t="str">
        <f>IF(ABS(R18) &lt; $P$5, "выполнено", "не выполнено")</f>
        <v>не выполнено</v>
      </c>
      <c r="T18" s="1">
        <v>3</v>
      </c>
      <c r="V18" s="1">
        <v>1</v>
      </c>
      <c r="W18" s="1">
        <v>2</v>
      </c>
      <c r="X18" s="1">
        <f>(V18+W18)/2</f>
        <v>1.5</v>
      </c>
      <c r="Y18" s="1">
        <f>LN(V18)+V18^2-3</f>
        <v>-2</v>
      </c>
      <c r="Z18" s="1">
        <f>LN(X18)+X18^2-3</f>
        <v>-0.34453489189183539</v>
      </c>
      <c r="AA18" s="8" t="str">
        <f>IF(ABS(Z18)&lt;$X$8,
"выполнено","не выполнено")</f>
        <v>не выполнено</v>
      </c>
      <c r="AB18" s="1">
        <v>1</v>
      </c>
    </row>
    <row r="19" spans="4:28" x14ac:dyDescent="0.25">
      <c r="D19" s="1">
        <f t="shared" si="4"/>
        <v>3.75</v>
      </c>
      <c r="E19" s="1">
        <f t="shared" si="5"/>
        <v>4</v>
      </c>
      <c r="F19" s="1">
        <f t="shared" si="0"/>
        <v>3.875</v>
      </c>
      <c r="G19" s="1">
        <f t="shared" si="1"/>
        <v>-1.015625</v>
      </c>
      <c r="H19" s="1">
        <f t="shared" si="2"/>
        <v>0.873046875</v>
      </c>
      <c r="I19" s="1" t="str">
        <f t="shared" si="3"/>
        <v>не выпол</v>
      </c>
      <c r="J19" s="1">
        <v>4</v>
      </c>
      <c r="N19" s="1">
        <f t="shared" si="6"/>
        <v>0.5</v>
      </c>
      <c r="O19" s="1">
        <f t="shared" ref="O19:O26" si="9">IF(Q18*R18&lt;0,P18,O18)</f>
        <v>0.625</v>
      </c>
      <c r="P19" s="1">
        <f t="shared" ref="P19:P26" si="10">(N19+O19)/2</f>
        <v>0.5625</v>
      </c>
      <c r="Q19" s="1">
        <f t="shared" si="7"/>
        <v>0.14872127070012819</v>
      </c>
      <c r="R19" s="1">
        <f t="shared" si="8"/>
        <v>6.7554656960298498E-2</v>
      </c>
      <c r="S19" s="1" t="str">
        <f>IF(ABS(R19) &lt; $P$5, "выполнено", "не выполнено")</f>
        <v>не выполнено</v>
      </c>
      <c r="T19" s="1">
        <v>4</v>
      </c>
      <c r="V19" s="1">
        <f>IF(Y18*Z18&lt;0,V18,X18)</f>
        <v>1.5</v>
      </c>
      <c r="W19" s="1">
        <f>IF(Y18*Z18&lt;0,X18,W18)</f>
        <v>2</v>
      </c>
      <c r="X19" s="1">
        <f>(V19+W19)/2</f>
        <v>1.75</v>
      </c>
      <c r="Y19" s="1">
        <f>LN(V19)+V19^2-3</f>
        <v>-0.34453489189183539</v>
      </c>
      <c r="Z19" s="1">
        <f>LN(X19)+X19^2-3</f>
        <v>0.62211578793542266</v>
      </c>
      <c r="AA19" s="8" t="str">
        <f>IF(ABS(Z19)&lt;$X$8,
"выполнено","не выполнено")</f>
        <v>не выполнено</v>
      </c>
      <c r="AB19" s="1">
        <v>2</v>
      </c>
    </row>
    <row r="20" spans="4:28" x14ac:dyDescent="0.25">
      <c r="D20" s="1">
        <f t="shared" si="4"/>
        <v>3.75</v>
      </c>
      <c r="E20" s="1">
        <f>IF(G19*H19&lt;0,F19,E19)</f>
        <v>3.875</v>
      </c>
      <c r="F20" s="1">
        <f t="shared" si="0"/>
        <v>3.8125</v>
      </c>
      <c r="G20" s="1">
        <f t="shared" si="1"/>
        <v>-1.015625</v>
      </c>
      <c r="H20" s="1">
        <f t="shared" si="2"/>
        <v>-0.100341796875</v>
      </c>
      <c r="I20" s="1" t="str">
        <f t="shared" si="3"/>
        <v>не выпол</v>
      </c>
      <c r="J20" s="1">
        <v>5</v>
      </c>
      <c r="N20" s="1">
        <f t="shared" si="6"/>
        <v>0.5625</v>
      </c>
      <c r="O20" s="1">
        <f t="shared" si="9"/>
        <v>0.625</v>
      </c>
      <c r="P20" s="1">
        <f t="shared" si="10"/>
        <v>0.59375</v>
      </c>
      <c r="Q20" s="1">
        <f t="shared" si="7"/>
        <v>6.7554656960298498E-2</v>
      </c>
      <c r="R20" s="1">
        <f t="shared" si="8"/>
        <v>2.9516072119387227E-2</v>
      </c>
      <c r="S20" s="1" t="str">
        <f>IF(ABS(R20) &lt; $P$5, "выполнено", "не выполнено")</f>
        <v>не выполнено</v>
      </c>
      <c r="T20" s="1">
        <v>5</v>
      </c>
      <c r="V20" s="1">
        <f t="shared" ref="V20:V22" si="11">IF(Y19*Z19&lt;0,V19,X19)</f>
        <v>1.5</v>
      </c>
      <c r="W20" s="1">
        <f t="shared" ref="W20:W22" si="12">IF(Y19*Z19&lt;0,X19,W19)</f>
        <v>1.75</v>
      </c>
      <c r="X20" s="1">
        <f t="shared" ref="X20:X22" si="13">(V20+W20)/2</f>
        <v>1.625</v>
      </c>
      <c r="Y20" s="1">
        <f t="shared" ref="Y20:Y22" si="14">LN(V20)+V20^2-3</f>
        <v>-0.34453489189183539</v>
      </c>
      <c r="Z20" s="1">
        <f t="shared" ref="Z20:Z22" si="15">LN(X20)+X20^2-3</f>
        <v>0.12613281578170099</v>
      </c>
      <c r="AA20" s="8" t="str">
        <f>IF(ABS(Z20)&lt;$X$8,
"выполнено","не выполнено")</f>
        <v>не выполнено</v>
      </c>
      <c r="AB20" s="1">
        <v>3</v>
      </c>
    </row>
    <row r="21" spans="4:28" x14ac:dyDescent="0.25">
      <c r="D21" s="1">
        <f t="shared" si="4"/>
        <v>3.8125</v>
      </c>
      <c r="E21" s="1">
        <f t="shared" si="5"/>
        <v>3.875</v>
      </c>
      <c r="F21" s="1">
        <f t="shared" si="0"/>
        <v>3.84375</v>
      </c>
      <c r="G21" s="1">
        <f t="shared" si="1"/>
        <v>-0.100341796875</v>
      </c>
      <c r="H21" s="1">
        <f t="shared" si="2"/>
        <v>0.378997802734375</v>
      </c>
      <c r="I21" s="1" t="str">
        <f t="shared" si="3"/>
        <v>не выпол</v>
      </c>
      <c r="J21" s="1">
        <v>6</v>
      </c>
      <c r="N21" s="1">
        <f t="shared" si="6"/>
        <v>0.59375</v>
      </c>
      <c r="O21" s="1">
        <f t="shared" si="9"/>
        <v>0.625</v>
      </c>
      <c r="P21" s="1">
        <f t="shared" si="10"/>
        <v>0.609375</v>
      </c>
      <c r="Q21" s="1">
        <f t="shared" si="7"/>
        <v>2.9516072119387227E-2</v>
      </c>
      <c r="R21" s="1">
        <f t="shared" si="8"/>
        <v>1.1156488541780751E-2</v>
      </c>
      <c r="S21" s="1" t="str">
        <f>IF(ABS(R21) &lt; $P$5, "выполнено", "не выполнено")</f>
        <v>не выполнено</v>
      </c>
      <c r="T21" s="1">
        <v>6</v>
      </c>
      <c r="V21" s="1">
        <f t="shared" si="11"/>
        <v>1.5</v>
      </c>
      <c r="W21" s="1">
        <f t="shared" si="12"/>
        <v>1.625</v>
      </c>
      <c r="X21" s="1">
        <f t="shared" si="13"/>
        <v>1.5625</v>
      </c>
      <c r="Y21" s="1">
        <f t="shared" si="14"/>
        <v>-0.34453489189183539</v>
      </c>
      <c r="Z21" s="1">
        <f t="shared" si="15"/>
        <v>-0.11230664737158058</v>
      </c>
      <c r="AA21" s="8" t="str">
        <f>IF(ABS(Z21)&lt;$X$8,
"выполнено","не выполнено")</f>
        <v>не выполнено</v>
      </c>
      <c r="AB21" s="1">
        <v>4</v>
      </c>
    </row>
    <row r="22" spans="4:28" x14ac:dyDescent="0.25">
      <c r="D22" s="1">
        <f t="shared" si="4"/>
        <v>3.8125</v>
      </c>
      <c r="E22" s="1">
        <f t="shared" si="5"/>
        <v>3.84375</v>
      </c>
      <c r="F22" s="1">
        <f t="shared" si="0"/>
        <v>3.828125</v>
      </c>
      <c r="G22" s="1">
        <f t="shared" si="1"/>
        <v>-0.100341796875</v>
      </c>
      <c r="H22" s="1">
        <f t="shared" si="2"/>
        <v>0.13750076293945313</v>
      </c>
      <c r="I22" s="1" t="str">
        <f t="shared" si="3"/>
        <v>не выпол</v>
      </c>
      <c r="J22" s="1">
        <v>7</v>
      </c>
      <c r="N22" s="1">
        <f t="shared" si="6"/>
        <v>0.609375</v>
      </c>
      <c r="O22" s="1">
        <f t="shared" si="9"/>
        <v>0.625</v>
      </c>
      <c r="P22" s="1">
        <f t="shared" si="10"/>
        <v>0.6171875</v>
      </c>
      <c r="Q22" s="1">
        <f t="shared" si="7"/>
        <v>1.1156488541780751E-2</v>
      </c>
      <c r="R22" s="1">
        <f t="shared" si="8"/>
        <v>2.1446520464343255E-3</v>
      </c>
      <c r="S22" s="1" t="str">
        <f>IF(ABS(R22) &lt; $P$5, "выполнено", "не выполнено")</f>
        <v>не выполнено</v>
      </c>
      <c r="T22" s="1">
        <v>7</v>
      </c>
      <c r="V22" s="1">
        <f t="shared" si="11"/>
        <v>1.5625</v>
      </c>
      <c r="W22" s="1">
        <f t="shared" si="12"/>
        <v>1.625</v>
      </c>
      <c r="X22" s="1">
        <f t="shared" si="13"/>
        <v>1.59375</v>
      </c>
      <c r="Y22" s="1">
        <f t="shared" si="14"/>
        <v>-0.11230664737158058</v>
      </c>
      <c r="Z22" s="1">
        <f t="shared" si="15"/>
        <v>6.1287924245991832E-3</v>
      </c>
      <c r="AA22" s="8" t="str">
        <f>IF(ABS(Z22)&lt;$X$8,
"выполнено","не выполнено")</f>
        <v>выполнено</v>
      </c>
      <c r="AB22" s="1">
        <v>5</v>
      </c>
    </row>
    <row r="23" spans="4:28" x14ac:dyDescent="0.25">
      <c r="D23" s="1">
        <f t="shared" si="4"/>
        <v>3.8125</v>
      </c>
      <c r="E23" s="1">
        <f t="shared" si="5"/>
        <v>3.828125</v>
      </c>
      <c r="F23" s="1">
        <f t="shared" si="0"/>
        <v>3.8203125</v>
      </c>
      <c r="G23" s="1">
        <f t="shared" si="1"/>
        <v>-0.100341796875</v>
      </c>
      <c r="H23" s="1">
        <f t="shared" si="2"/>
        <v>1.8124103546142578E-2</v>
      </c>
      <c r="I23" s="1" t="str">
        <f t="shared" si="3"/>
        <v>не выпол</v>
      </c>
      <c r="J23" s="1">
        <v>8</v>
      </c>
      <c r="N23" s="1">
        <f t="shared" si="6"/>
        <v>0.6171875</v>
      </c>
      <c r="O23" s="1">
        <f t="shared" si="9"/>
        <v>0.625</v>
      </c>
      <c r="P23" s="1">
        <f t="shared" si="10"/>
        <v>0.62109375</v>
      </c>
      <c r="Q23" s="1">
        <f t="shared" si="7"/>
        <v>2.1446520464343255E-3</v>
      </c>
      <c r="R23" s="1">
        <f t="shared" si="8"/>
        <v>-2.3188932947524332E-3</v>
      </c>
      <c r="S23" s="1" t="str">
        <f>IF(ABS(R23) &lt; $P$5, "выполнено", "не выполнено")</f>
        <v>не выполнено</v>
      </c>
      <c r="T23" s="1">
        <v>8</v>
      </c>
    </row>
    <row r="24" spans="4:28" x14ac:dyDescent="0.25">
      <c r="D24" s="1">
        <f t="shared" si="4"/>
        <v>3.8125</v>
      </c>
      <c r="E24" s="1">
        <f t="shared" si="5"/>
        <v>3.8203125</v>
      </c>
      <c r="F24" s="1">
        <f t="shared" si="0"/>
        <v>3.81640625</v>
      </c>
      <c r="G24" s="1">
        <f t="shared" si="1"/>
        <v>-0.100341796875</v>
      </c>
      <c r="H24" s="1">
        <f t="shared" si="2"/>
        <v>-4.1222512722015381E-2</v>
      </c>
      <c r="I24" s="1" t="str">
        <f t="shared" si="3"/>
        <v>не выпол</v>
      </c>
      <c r="J24" s="1">
        <v>9</v>
      </c>
      <c r="N24" s="1">
        <f t="shared" si="6"/>
        <v>0.6171875</v>
      </c>
      <c r="O24" s="1">
        <f t="shared" si="9"/>
        <v>0.62109375</v>
      </c>
      <c r="P24" s="1">
        <f t="shared" si="10"/>
        <v>0.619140625</v>
      </c>
      <c r="Q24" s="1">
        <f t="shared" si="7"/>
        <v>2.1446520464343255E-3</v>
      </c>
      <c r="R24" s="1">
        <f t="shared" si="8"/>
        <v>-9.0663203432761463E-5</v>
      </c>
      <c r="S24" s="1" t="str">
        <f>IF(ABS(R24) &lt; $P$5, "выполнено", "не выполнено")</f>
        <v>выполнено</v>
      </c>
      <c r="T24" s="1">
        <v>9</v>
      </c>
      <c r="V24" s="15" t="s">
        <v>17</v>
      </c>
      <c r="W24" s="15"/>
    </row>
    <row r="25" spans="4:28" x14ac:dyDescent="0.25">
      <c r="D25" s="1">
        <f t="shared" si="4"/>
        <v>3.81640625</v>
      </c>
      <c r="E25" s="1">
        <f t="shared" si="5"/>
        <v>3.8203125</v>
      </c>
      <c r="F25" s="1">
        <f t="shared" si="0"/>
        <v>3.818359375</v>
      </c>
      <c r="G25" s="1">
        <f t="shared" si="1"/>
        <v>-4.1222512722015381E-2</v>
      </c>
      <c r="H25" s="1">
        <f t="shared" si="2"/>
        <v>-1.157764345407486E-2</v>
      </c>
      <c r="I25" s="1" t="str">
        <f t="shared" si="3"/>
        <v>не выпол</v>
      </c>
      <c r="J25" s="1">
        <v>10</v>
      </c>
      <c r="N25" s="1">
        <f t="shared" si="6"/>
        <v>0.6171875</v>
      </c>
      <c r="O25" s="1">
        <f t="shared" si="9"/>
        <v>0.619140625</v>
      </c>
      <c r="P25" s="1">
        <f t="shared" si="10"/>
        <v>0.6181640625</v>
      </c>
      <c r="Q25" s="1">
        <f t="shared" si="7"/>
        <v>2.1446520464343255E-3</v>
      </c>
      <c r="R25" s="1">
        <f t="shared" si="8"/>
        <v>1.0261096413586301E-3</v>
      </c>
      <c r="S25" s="1" t="str">
        <f>IF(ABS(R25) &lt; $P$5, "выполнено", "не выполнено")</f>
        <v>не выполнено</v>
      </c>
      <c r="T25" s="1">
        <v>10</v>
      </c>
    </row>
    <row r="26" spans="4:28" x14ac:dyDescent="0.25">
      <c r="D26" s="1">
        <f t="shared" ref="D26" si="16">IF(G25*H25&lt;0,D25,F25)</f>
        <v>3.818359375</v>
      </c>
      <c r="E26" s="1">
        <f t="shared" ref="E26" si="17">IF(G25*H25&lt;0,F25,E25)</f>
        <v>3.8203125</v>
      </c>
      <c r="F26" s="1">
        <f>(D26+E26)/2</f>
        <v>3.8193359375</v>
      </c>
      <c r="G26" s="1">
        <f t="shared" ref="G26" si="18">D26^3-4*D26^2+2*D26-5</f>
        <v>-1.157764345407486E-2</v>
      </c>
      <c r="H26" s="1">
        <f t="shared" ref="H26" si="19">F26^3-4*F26^2+2*F26-5</f>
        <v>3.2661175355315208E-3</v>
      </c>
      <c r="I26" s="1" t="str">
        <f t="shared" si="3"/>
        <v>выпол</v>
      </c>
      <c r="J26" s="1">
        <v>11</v>
      </c>
      <c r="N26" s="1">
        <f t="shared" si="6"/>
        <v>0.6181640625</v>
      </c>
      <c r="O26" s="1">
        <f t="shared" si="9"/>
        <v>0.619140625</v>
      </c>
      <c r="P26" s="1">
        <f t="shared" si="10"/>
        <v>0.61865234375</v>
      </c>
      <c r="Q26" s="1">
        <f t="shared" si="7"/>
        <v>1.0261096413586301E-3</v>
      </c>
      <c r="R26" s="1">
        <f t="shared" si="8"/>
        <v>4.6750191590883006E-4</v>
      </c>
      <c r="S26" s="1" t="str">
        <f>IF(ABS(R26) &lt; $P$5, "выполнено", "не выполнено")</f>
        <v>не выполнено</v>
      </c>
      <c r="T26" s="1">
        <v>11</v>
      </c>
    </row>
    <row r="27" spans="4:28" x14ac:dyDescent="0.25">
      <c r="N27" s="1">
        <f>IF(Q26*R26&lt;0,N26,P26)</f>
        <v>0.61865234375</v>
      </c>
      <c r="O27" s="1">
        <f>IF(Q26*R26&lt;0,P26,O26)</f>
        <v>0.619140625</v>
      </c>
      <c r="P27" s="1">
        <f>(N27+O27)/2</f>
        <v>0.618896484375</v>
      </c>
      <c r="Q27" s="1">
        <f>EXP(N27)-3*N27</f>
        <v>4.6750191590883006E-4</v>
      </c>
      <c r="R27" s="1">
        <f>EXP(P27)-3*P27</f>
        <v>1.8836401696642469E-4</v>
      </c>
      <c r="S27" s="1" t="str">
        <f>IF(ABS(R27) &lt; $P$5, "выполнено", "не выполнено")</f>
        <v>не выполнено</v>
      </c>
      <c r="T27" s="1">
        <v>12</v>
      </c>
    </row>
    <row r="28" spans="4:28" x14ac:dyDescent="0.25">
      <c r="D28" s="14" t="s">
        <v>13</v>
      </c>
      <c r="E28" s="14"/>
      <c r="N28" s="1">
        <f t="shared" ref="N28" si="20">IF(Q27*R27&lt;0,N27,P27)</f>
        <v>0.618896484375</v>
      </c>
      <c r="O28" s="1">
        <f t="shared" ref="O28" si="21">IF(Q27*R27&lt;0,P27,O27)</f>
        <v>0.619140625</v>
      </c>
      <c r="P28" s="1">
        <f>(N28+O28)/2</f>
        <v>0.6190185546875</v>
      </c>
      <c r="Q28" s="1">
        <f t="shared" ref="Q28" si="22">EXP(N28)-3*N28</f>
        <v>1.8836401696642469E-4</v>
      </c>
      <c r="R28" s="1">
        <f>EXP(P28)-3*P28</f>
        <v>4.8836570260224477E-5</v>
      </c>
      <c r="S28" s="1" t="str">
        <f>IF(ABS(R28) &lt; $P$5, "выполнено", "не выполнено")</f>
        <v>выполнено</v>
      </c>
      <c r="T28" s="1">
        <v>13</v>
      </c>
    </row>
    <row r="30" spans="4:28" x14ac:dyDescent="0.25">
      <c r="N30" s="15" t="s">
        <v>15</v>
      </c>
      <c r="O30" s="15"/>
    </row>
    <row r="33" spans="4:20" x14ac:dyDescent="0.25">
      <c r="N33" t="s">
        <v>0</v>
      </c>
      <c r="O33" s="6"/>
      <c r="P33" s="6"/>
      <c r="Q33" s="6"/>
    </row>
    <row r="34" spans="4:20" x14ac:dyDescent="0.25">
      <c r="O34" s="6"/>
      <c r="P34" s="6"/>
      <c r="Q34" s="6"/>
    </row>
    <row r="35" spans="4:20" x14ac:dyDescent="0.25">
      <c r="E35" t="s">
        <v>0</v>
      </c>
    </row>
    <row r="36" spans="4:20" x14ac:dyDescent="0.25">
      <c r="N36" s="5" t="s">
        <v>1</v>
      </c>
      <c r="O36" s="5" t="s">
        <v>2</v>
      </c>
      <c r="P36" s="5" t="s">
        <v>3</v>
      </c>
    </row>
    <row r="37" spans="4:20" x14ac:dyDescent="0.25">
      <c r="E37" s="5" t="s">
        <v>1</v>
      </c>
      <c r="F37" s="5" t="s">
        <v>2</v>
      </c>
      <c r="G37" s="5" t="s">
        <v>3</v>
      </c>
      <c r="N37" s="1">
        <v>-5</v>
      </c>
      <c r="O37" s="1">
        <v>4</v>
      </c>
      <c r="P37" s="1">
        <v>1E-4</v>
      </c>
    </row>
    <row r="38" spans="4:20" x14ac:dyDescent="0.25">
      <c r="E38" s="1">
        <v>0</v>
      </c>
      <c r="F38" s="1">
        <v>1</v>
      </c>
      <c r="G38" s="1">
        <v>1E-3</v>
      </c>
    </row>
    <row r="39" spans="4:20" x14ac:dyDescent="0.25">
      <c r="N39" s="10" t="s">
        <v>4</v>
      </c>
      <c r="O39" s="10"/>
    </row>
    <row r="40" spans="4:20" x14ac:dyDescent="0.25">
      <c r="E40" s="10" t="s">
        <v>4</v>
      </c>
      <c r="F40" s="10"/>
    </row>
    <row r="42" spans="4:20" x14ac:dyDescent="0.25">
      <c r="E42" s="1" t="s">
        <v>5</v>
      </c>
      <c r="F42" s="1" t="s">
        <v>6</v>
      </c>
      <c r="G42" s="13" t="s">
        <v>7</v>
      </c>
      <c r="N42" s="1" t="s">
        <v>5</v>
      </c>
      <c r="O42" s="1" t="s">
        <v>6</v>
      </c>
      <c r="P42" s="13" t="s">
        <v>7</v>
      </c>
    </row>
    <row r="43" spans="4:20" x14ac:dyDescent="0.25">
      <c r="E43" s="1">
        <f>COS(E38)-E38</f>
        <v>1</v>
      </c>
      <c r="F43" s="1">
        <f>COS(F38)-F38</f>
        <v>-0.45969769413186023</v>
      </c>
      <c r="G43" s="1" t="str">
        <f>IF(E43*F43 &lt; 0,"выполнено","не выполнено")</f>
        <v>выполнено</v>
      </c>
      <c r="N43" s="1">
        <f>N37-(1/(N37^4-13*N37^2+36))</f>
        <v>-5.0029761904761907</v>
      </c>
      <c r="O43" s="1">
        <f>O37-(1/(O37^4-13*O37^2+36))</f>
        <v>3.9880952380952381</v>
      </c>
      <c r="P43" s="1" t="str">
        <f>IF(N43*O43&lt;0,
"выполнено","не выполнено")</f>
        <v>выполнено</v>
      </c>
    </row>
    <row r="45" spans="4:20" x14ac:dyDescent="0.25">
      <c r="E45" s="12" t="s">
        <v>14</v>
      </c>
      <c r="F45" s="12"/>
      <c r="G45" s="12"/>
      <c r="H45" s="12"/>
      <c r="N45" s="4" t="s">
        <v>1</v>
      </c>
      <c r="O45" s="4" t="s">
        <v>2</v>
      </c>
      <c r="P45" s="4" t="s">
        <v>9</v>
      </c>
      <c r="Q45" s="4" t="s">
        <v>5</v>
      </c>
      <c r="R45" s="4" t="s">
        <v>10</v>
      </c>
      <c r="S45" s="4" t="s">
        <v>11</v>
      </c>
      <c r="T45" s="4" t="s">
        <v>12</v>
      </c>
    </row>
    <row r="46" spans="4:20" x14ac:dyDescent="0.25">
      <c r="N46" s="7">
        <v>-5</v>
      </c>
      <c r="O46" s="7">
        <v>4</v>
      </c>
      <c r="P46" s="7">
        <f>(N46+O46)/2</f>
        <v>-0.5</v>
      </c>
      <c r="Q46" s="7">
        <f>N46-(1/(N46^4-13*N46^2+36))</f>
        <v>-5.0029761904761907</v>
      </c>
      <c r="R46" s="7">
        <f>P46-(1/(P46^4-13*P46^2+36))</f>
        <v>-0.53047619047619043</v>
      </c>
      <c r="S46" s="7" t="str">
        <f>IF(ABS(R46)&lt;$P$37,"выполнено","не выполнено")</f>
        <v>не выполнено</v>
      </c>
      <c r="T46" s="7">
        <v>1</v>
      </c>
    </row>
    <row r="47" spans="4:20" x14ac:dyDescent="0.25">
      <c r="D47" s="4" t="s">
        <v>1</v>
      </c>
      <c r="E47" s="4" t="s">
        <v>2</v>
      </c>
      <c r="F47" s="4" t="s">
        <v>9</v>
      </c>
      <c r="G47" s="4" t="s">
        <v>5</v>
      </c>
      <c r="H47" s="4" t="s">
        <v>10</v>
      </c>
      <c r="I47" s="4" t="s">
        <v>11</v>
      </c>
      <c r="J47" s="4" t="s">
        <v>12</v>
      </c>
      <c r="N47" s="1">
        <f>IF(Q46*R46&lt;0,N46,P46)</f>
        <v>-0.5</v>
      </c>
      <c r="O47" s="1">
        <f>IF(Q46*R46&lt;0,P46,O46)</f>
        <v>4</v>
      </c>
      <c r="P47" s="7">
        <f>(N47+O47)/2</f>
        <v>1.75</v>
      </c>
      <c r="Q47" s="7">
        <f>N47-(1/(N47^4-13*N47^2+36))</f>
        <v>-0.53047619047619043</v>
      </c>
      <c r="R47" s="7">
        <f>P47-(1/(P47^4-13*P47^2+36))</f>
        <v>1.5703508771929824</v>
      </c>
      <c r="S47" s="7" t="str">
        <f>IF(ABS(R47)&lt;$P$37,"выполнено","не выполнено")</f>
        <v>не выполнено</v>
      </c>
      <c r="T47" s="1">
        <v>2</v>
      </c>
    </row>
    <row r="48" spans="4:20" x14ac:dyDescent="0.25">
      <c r="D48" s="1">
        <v>0</v>
      </c>
      <c r="E48" s="1">
        <v>1</v>
      </c>
      <c r="F48" s="1">
        <f>(D48+E48)/2</f>
        <v>0.5</v>
      </c>
      <c r="G48" s="1">
        <f>COS(D48)-D48</f>
        <v>1</v>
      </c>
      <c r="H48" s="1">
        <f>COS(F48)-F48</f>
        <v>0.37758256189037276</v>
      </c>
      <c r="I48" s="1" t="str">
        <f>IF(ABS(H48)&lt;=$G$38,"выпол","не выпол")</f>
        <v>не выпол</v>
      </c>
      <c r="J48" s="1">
        <v>1</v>
      </c>
      <c r="N48" s="1">
        <f t="shared" ref="N48:N51" si="23">IF(Q47*R47&lt;0,N47,P47)</f>
        <v>-0.5</v>
      </c>
      <c r="O48" s="1">
        <f t="shared" ref="O48:O51" si="24">IF(Q47*R47&lt;0,P47,O47)</f>
        <v>1.75</v>
      </c>
      <c r="P48" s="7">
        <f t="shared" ref="P48:P51" si="25">(N48+O48)/2</f>
        <v>0.625</v>
      </c>
      <c r="Q48" s="7">
        <f t="shared" ref="Q48:Q51" si="26">N48-(1/(N48^4-13*N48^2+36))</f>
        <v>-0.53047619047619043</v>
      </c>
      <c r="R48" s="7">
        <f t="shared" ref="R48:R51" si="27">P48-(1/(P48^4-13*P48^2+36))</f>
        <v>0.59281923460689345</v>
      </c>
      <c r="S48" s="7" t="str">
        <f>IF(ABS(R48)&lt;$P$37,"выполнено","не выполнено")</f>
        <v>не выполнено</v>
      </c>
      <c r="T48" s="1">
        <v>3</v>
      </c>
    </row>
    <row r="49" spans="4:20" x14ac:dyDescent="0.25">
      <c r="D49" s="1">
        <f>IF(G48*H48&lt;0,D48,F48)</f>
        <v>0.5</v>
      </c>
      <c r="E49" s="1">
        <f>IF(G48*H48&lt;0,F48,E48)</f>
        <v>1</v>
      </c>
      <c r="F49" s="1">
        <f>(D49+E49)/2</f>
        <v>0.75</v>
      </c>
      <c r="G49" s="1">
        <f>COS(D49)-D49</f>
        <v>0.37758256189037276</v>
      </c>
      <c r="H49" s="1">
        <f>COS(F49)-F49</f>
        <v>-1.8311131126179103E-2</v>
      </c>
      <c r="I49" s="1" t="str">
        <f>IF(ABS(H49)&lt;=$G$38,"выпол","не выпол")</f>
        <v>не выпол</v>
      </c>
      <c r="J49" s="1">
        <v>2</v>
      </c>
      <c r="N49" s="1">
        <f t="shared" si="23"/>
        <v>-0.5</v>
      </c>
      <c r="O49" s="1">
        <f t="shared" si="24"/>
        <v>0.625</v>
      </c>
      <c r="P49" s="7">
        <f t="shared" si="25"/>
        <v>6.25E-2</v>
      </c>
      <c r="Q49" s="7">
        <f t="shared" si="26"/>
        <v>-0.53047619047619043</v>
      </c>
      <c r="R49" s="7">
        <f t="shared" si="27"/>
        <v>3.4682995616665588E-2</v>
      </c>
      <c r="S49" s="7" t="str">
        <f>IF(ABS(R49)&lt;$P$37,"выполнено","не выполнено")</f>
        <v>не выполнено</v>
      </c>
      <c r="T49" s="1">
        <v>4</v>
      </c>
    </row>
    <row r="50" spans="4:20" x14ac:dyDescent="0.25">
      <c r="D50" s="1">
        <f t="shared" ref="D50:D57" si="28">IF(G49*H49&lt;0,D49,F49)</f>
        <v>0.5</v>
      </c>
      <c r="E50" s="1">
        <f t="shared" ref="E50:E57" si="29">IF(G49*H49&lt;0,F49,E49)</f>
        <v>0.75</v>
      </c>
      <c r="F50" s="1">
        <f t="shared" ref="F50:F57" si="30">(D50+E50)/2</f>
        <v>0.625</v>
      </c>
      <c r="G50" s="1">
        <f t="shared" ref="G50:G57" si="31">COS(D50)-D50</f>
        <v>0.37758256189037276</v>
      </c>
      <c r="H50" s="1">
        <f t="shared" ref="H50:H57" si="32">COS(F50)-F50</f>
        <v>0.18596311950521793</v>
      </c>
      <c r="I50" s="1" t="str">
        <f>IF(ABS(H50)&lt;=$G$38,"выпол","не выпол")</f>
        <v>не выпол</v>
      </c>
      <c r="J50" s="1">
        <v>3</v>
      </c>
      <c r="N50" s="1">
        <f t="shared" si="23"/>
        <v>-0.5</v>
      </c>
      <c r="O50" s="1">
        <f t="shared" si="24"/>
        <v>6.25E-2</v>
      </c>
      <c r="P50" s="7">
        <f t="shared" si="25"/>
        <v>-0.21875</v>
      </c>
      <c r="Q50" s="7">
        <f t="shared" si="26"/>
        <v>-0.53047619047619043</v>
      </c>
      <c r="R50" s="7">
        <f t="shared" si="27"/>
        <v>-0.24701438092459418</v>
      </c>
      <c r="S50" s="7" t="str">
        <f>IF(ABS(R50)&lt;$P$37,"выполнено","не выполнено")</f>
        <v>не выполнено</v>
      </c>
      <c r="T50" s="1">
        <v>5</v>
      </c>
    </row>
    <row r="51" spans="4:20" x14ac:dyDescent="0.25">
      <c r="D51" s="1">
        <f t="shared" si="28"/>
        <v>0.625</v>
      </c>
      <c r="E51" s="1">
        <f t="shared" si="29"/>
        <v>0.75</v>
      </c>
      <c r="F51" s="1">
        <f t="shared" si="30"/>
        <v>0.6875</v>
      </c>
      <c r="G51" s="1">
        <f t="shared" si="31"/>
        <v>0.18596311950521793</v>
      </c>
      <c r="H51" s="1">
        <f t="shared" si="32"/>
        <v>8.5334946152471503E-2</v>
      </c>
      <c r="I51" s="1" t="str">
        <f>IF(ABS(H51)&lt;=$G$38,"выпол","не выпол")</f>
        <v>не выпол</v>
      </c>
      <c r="J51" s="1">
        <v>4</v>
      </c>
      <c r="N51" s="7">
        <f t="shared" si="23"/>
        <v>-0.21875</v>
      </c>
      <c r="O51" s="7">
        <f t="shared" si="24"/>
        <v>6.25E-2</v>
      </c>
      <c r="P51" s="7">
        <f t="shared" si="25"/>
        <v>-7.8125E-2</v>
      </c>
      <c r="Q51" s="7">
        <f t="shared" si="26"/>
        <v>-0.24701438092459418</v>
      </c>
      <c r="R51" s="7">
        <f t="shared" si="27"/>
        <v>-0.1059641076801577</v>
      </c>
      <c r="S51" s="7" t="str">
        <f>IF(ABS(R51)&lt;$P$37,"выполнено","не выполнено")</f>
        <v>не выполнено</v>
      </c>
      <c r="T51" s="7">
        <v>6</v>
      </c>
    </row>
    <row r="52" spans="4:20" x14ac:dyDescent="0.25">
      <c r="D52" s="1">
        <f t="shared" si="28"/>
        <v>0.6875</v>
      </c>
      <c r="E52" s="1">
        <f t="shared" si="29"/>
        <v>0.75</v>
      </c>
      <c r="F52" s="1">
        <f t="shared" si="30"/>
        <v>0.71875</v>
      </c>
      <c r="G52" s="1">
        <f t="shared" si="31"/>
        <v>8.5334946152471503E-2</v>
      </c>
      <c r="H52" s="1">
        <f t="shared" si="32"/>
        <v>3.3879372418066489E-2</v>
      </c>
      <c r="I52" s="1" t="str">
        <f>IF(ABS(H52)&lt;=$G$38,"выпол","не выпол")</f>
        <v>не выпол</v>
      </c>
      <c r="J52" s="1">
        <v>5</v>
      </c>
      <c r="N52" s="7">
        <f t="shared" ref="N52:N55" si="33">IF(Q51*R51&lt;0,N51,P51)</f>
        <v>-7.8125E-2</v>
      </c>
      <c r="O52" s="7">
        <f t="shared" ref="O52:O55" si="34">IF(Q51*R51&lt;0,P51,O51)</f>
        <v>6.25E-2</v>
      </c>
      <c r="P52" s="7">
        <f t="shared" ref="P52:P55" si="35">(N52+O52)/2</f>
        <v>-7.8125E-3</v>
      </c>
      <c r="Q52" s="7">
        <f t="shared" ref="Q52:Q55" si="36">N52-(1/(N52^4-13*N52^2+36))</f>
        <v>-0.1059641076801577</v>
      </c>
      <c r="R52" s="7">
        <f t="shared" ref="R52:R55" si="37">P52-(1/(P52^4-13*P52^2+36))</f>
        <v>-3.5590890023761076E-2</v>
      </c>
      <c r="S52" s="7" t="str">
        <f>IF(ABS(R52)&lt;$P$37,"выполнено","не выполнено")</f>
        <v>не выполнено</v>
      </c>
      <c r="T52" s="7">
        <v>7</v>
      </c>
    </row>
    <row r="53" spans="4:20" x14ac:dyDescent="0.25">
      <c r="D53" s="1">
        <f t="shared" si="28"/>
        <v>0.71875</v>
      </c>
      <c r="E53" s="1">
        <f t="shared" si="29"/>
        <v>0.75</v>
      </c>
      <c r="F53" s="1">
        <f t="shared" si="30"/>
        <v>0.734375</v>
      </c>
      <c r="G53" s="1">
        <f t="shared" si="31"/>
        <v>3.3879372418066489E-2</v>
      </c>
      <c r="H53" s="1">
        <f t="shared" si="32"/>
        <v>7.8747254585013193E-3</v>
      </c>
      <c r="I53" s="1" t="str">
        <f>IF(ABS(H53)&lt;=$G$38,"выпол","не выпол")</f>
        <v>не выпол</v>
      </c>
      <c r="J53" s="1">
        <v>6</v>
      </c>
      <c r="N53" s="7">
        <f t="shared" si="33"/>
        <v>-7.8125E-3</v>
      </c>
      <c r="O53" s="7">
        <f t="shared" si="34"/>
        <v>6.25E-2</v>
      </c>
      <c r="P53" s="7">
        <f t="shared" si="35"/>
        <v>2.734375E-2</v>
      </c>
      <c r="Q53" s="7">
        <f t="shared" si="36"/>
        <v>-3.5590890023761076E-2</v>
      </c>
      <c r="R53" s="7">
        <f t="shared" si="37"/>
        <v>-4.4152925488538664E-4</v>
      </c>
      <c r="S53" s="7" t="str">
        <f>IF(ABS(R53)&lt;$P$37,"выполнено","не выполнено")</f>
        <v>не выполнено</v>
      </c>
      <c r="T53" s="7">
        <v>8</v>
      </c>
    </row>
    <row r="54" spans="4:20" x14ac:dyDescent="0.25">
      <c r="D54" s="1">
        <f t="shared" si="28"/>
        <v>0.734375</v>
      </c>
      <c r="E54" s="1">
        <f t="shared" si="29"/>
        <v>0.75</v>
      </c>
      <c r="F54" s="1">
        <f t="shared" si="30"/>
        <v>0.7421875</v>
      </c>
      <c r="G54" s="1">
        <f t="shared" si="31"/>
        <v>7.8747254585013193E-3</v>
      </c>
      <c r="H54" s="1">
        <f t="shared" si="32"/>
        <v>-5.1957117437592126E-3</v>
      </c>
      <c r="I54" s="1" t="str">
        <f>IF(ABS(H54)&lt;=$G$38,"выпол","не выпол")</f>
        <v>не выпол</v>
      </c>
      <c r="J54" s="1">
        <v>7</v>
      </c>
      <c r="N54" s="7">
        <f t="shared" si="33"/>
        <v>2.734375E-2</v>
      </c>
      <c r="O54" s="7">
        <f t="shared" si="34"/>
        <v>6.25E-2</v>
      </c>
      <c r="P54" s="7">
        <f t="shared" si="35"/>
        <v>4.4921875E-2</v>
      </c>
      <c r="Q54" s="7">
        <f t="shared" si="36"/>
        <v>-4.4152925488538664E-4</v>
      </c>
      <c r="R54" s="7">
        <f t="shared" si="37"/>
        <v>1.7123843575852338E-2</v>
      </c>
      <c r="S54" s="7" t="str">
        <f>IF(ABS(R54)&lt;$P$37,"выполнено","не выполнено")</f>
        <v>не выполнено</v>
      </c>
      <c r="T54" s="7">
        <v>9</v>
      </c>
    </row>
    <row r="55" spans="4:20" x14ac:dyDescent="0.25">
      <c r="D55" s="1">
        <f t="shared" si="28"/>
        <v>0.734375</v>
      </c>
      <c r="E55" s="1">
        <f t="shared" si="29"/>
        <v>0.7421875</v>
      </c>
      <c r="F55" s="1">
        <f t="shared" si="30"/>
        <v>0.73828125</v>
      </c>
      <c r="G55" s="1">
        <f t="shared" si="31"/>
        <v>7.8747254585013193E-3</v>
      </c>
      <c r="H55" s="1">
        <f t="shared" si="32"/>
        <v>1.3451497518051081E-3</v>
      </c>
      <c r="I55" s="1" t="str">
        <f>IF(ABS(H55)&lt;=$G$38,"выпол","не выпол")</f>
        <v>не выпол</v>
      </c>
      <c r="J55" s="1">
        <v>8</v>
      </c>
      <c r="N55" s="7">
        <f t="shared" si="33"/>
        <v>2.734375E-2</v>
      </c>
      <c r="O55" s="7">
        <f t="shared" si="34"/>
        <v>4.4921875E-2</v>
      </c>
      <c r="P55" s="7">
        <f t="shared" si="35"/>
        <v>3.61328125E-2</v>
      </c>
      <c r="Q55" s="7">
        <f t="shared" si="36"/>
        <v>-4.4152925488538664E-4</v>
      </c>
      <c r="R55" s="7">
        <f t="shared" si="37"/>
        <v>8.3419337644277738E-3</v>
      </c>
      <c r="S55" s="7" t="str">
        <f>IF(ABS(R55)&lt;$P$37,"выполнено","не выполнено")</f>
        <v>не выполнено</v>
      </c>
      <c r="T55" s="7">
        <v>10</v>
      </c>
    </row>
    <row r="56" spans="4:20" x14ac:dyDescent="0.25">
      <c r="D56" s="1">
        <f t="shared" si="28"/>
        <v>0.73828125</v>
      </c>
      <c r="E56" s="1">
        <f t="shared" si="29"/>
        <v>0.7421875</v>
      </c>
      <c r="F56" s="1">
        <f t="shared" si="30"/>
        <v>0.740234375</v>
      </c>
      <c r="G56" s="1">
        <f t="shared" si="31"/>
        <v>1.3451497518051081E-3</v>
      </c>
      <c r="H56" s="1">
        <f t="shared" si="32"/>
        <v>-1.923872780897673E-3</v>
      </c>
      <c r="I56" s="1" t="str">
        <f>IF(ABS(H56)&lt;=$G$38,"выпол","не выпол")</f>
        <v>не выпол</v>
      </c>
      <c r="J56" s="1">
        <v>9</v>
      </c>
      <c r="N56" s="7">
        <f t="shared" ref="N56" si="38">IF(Q55*R55&lt;0,N55,P55)</f>
        <v>2.734375E-2</v>
      </c>
      <c r="O56" s="7">
        <f t="shared" ref="O56" si="39">IF(Q55*R55&lt;0,P55,O55)</f>
        <v>3.61328125E-2</v>
      </c>
      <c r="P56" s="7">
        <f t="shared" ref="P56" si="40">(N56+O56)/2</f>
        <v>3.173828125E-2</v>
      </c>
      <c r="Q56" s="7">
        <f t="shared" ref="Q56" si="41">N56-(1/(N56^4-13*N56^2+36))</f>
        <v>-4.4152925488538664E-4</v>
      </c>
      <c r="R56" s="7">
        <f t="shared" ref="R56" si="42">P56-(1/(P56^4-13*P56^2+36))</f>
        <v>3.9503963038813247E-3</v>
      </c>
      <c r="S56" s="7" t="str">
        <f>IF(ABS(R56)&lt;$P$37,"выполнено","не выполнено")</f>
        <v>не выполнено</v>
      </c>
      <c r="T56" s="7">
        <v>11</v>
      </c>
    </row>
    <row r="57" spans="4:20" x14ac:dyDescent="0.25">
      <c r="D57" s="7">
        <f t="shared" si="28"/>
        <v>0.73828125</v>
      </c>
      <c r="E57" s="7">
        <f t="shared" si="29"/>
        <v>0.740234375</v>
      </c>
      <c r="F57" s="7">
        <f t="shared" si="30"/>
        <v>0.7392578125</v>
      </c>
      <c r="G57" s="7">
        <f t="shared" si="31"/>
        <v>1.3451497518051081E-3</v>
      </c>
      <c r="H57" s="7">
        <f t="shared" si="32"/>
        <v>-2.8900914679008682E-4</v>
      </c>
      <c r="I57" s="7" t="str">
        <f>IF(ABS(H57)&lt;=$G$38,"выпол","не выпол")</f>
        <v>выпол</v>
      </c>
      <c r="J57" s="7">
        <v>10</v>
      </c>
      <c r="N57" s="7">
        <f t="shared" ref="N57:N61" si="43">IF(Q56*R56&lt;0,N56,P56)</f>
        <v>2.734375E-2</v>
      </c>
      <c r="O57" s="7">
        <f t="shared" ref="O57:O61" si="44">IF(Q56*R56&lt;0,P56,O56)</f>
        <v>3.173828125E-2</v>
      </c>
      <c r="P57" s="7">
        <f t="shared" ref="P57:P61" si="45">(N57+O57)/2</f>
        <v>2.9541015625E-2</v>
      </c>
      <c r="Q57" s="7">
        <f t="shared" ref="Q57:Q61" si="46">N57-(1/(N57^4-13*N57^2+36))</f>
        <v>-4.4152925488538664E-4</v>
      </c>
      <c r="R57" s="7">
        <f t="shared" ref="R57:R61" si="47">P57-(1/(P57^4-13*P57^2+36))</f>
        <v>1.7544820254427815E-3</v>
      </c>
      <c r="S57" s="7" t="str">
        <f>IF(ABS(R57)&lt;$P$37,"выполнено","не выполнено")</f>
        <v>не выполнено</v>
      </c>
      <c r="T57" s="7">
        <v>12</v>
      </c>
    </row>
    <row r="58" spans="4:20" x14ac:dyDescent="0.25">
      <c r="D58" s="9"/>
      <c r="E58" s="9"/>
      <c r="F58" s="9"/>
      <c r="G58" s="9"/>
      <c r="H58" s="9"/>
      <c r="I58" s="9"/>
      <c r="J58" s="9"/>
      <c r="N58" s="7">
        <f t="shared" si="43"/>
        <v>2.734375E-2</v>
      </c>
      <c r="O58" s="7">
        <f t="shared" si="44"/>
        <v>2.9541015625E-2</v>
      </c>
      <c r="P58" s="7">
        <f t="shared" si="45"/>
        <v>2.84423828125E-2</v>
      </c>
      <c r="Q58" s="7">
        <f t="shared" si="46"/>
        <v>-4.4152925488538664E-4</v>
      </c>
      <c r="R58" s="7">
        <f t="shared" si="47"/>
        <v>6.5648850918584994E-4</v>
      </c>
      <c r="S58" s="7" t="str">
        <f>IF(ABS(R58)&lt;$P$37,"выполнено","не выполнено")</f>
        <v>не выполнено</v>
      </c>
      <c r="T58" s="7">
        <v>13</v>
      </c>
    </row>
    <row r="59" spans="4:20" x14ac:dyDescent="0.25">
      <c r="D59" s="11" t="s">
        <v>16</v>
      </c>
      <c r="E59" s="11"/>
      <c r="N59" s="7">
        <f t="shared" si="43"/>
        <v>2.734375E-2</v>
      </c>
      <c r="O59" s="7">
        <f t="shared" si="44"/>
        <v>2.84423828125E-2</v>
      </c>
      <c r="P59" s="7">
        <f t="shared" si="45"/>
        <v>2.789306640625E-2</v>
      </c>
      <c r="Q59" s="7">
        <f t="shared" si="46"/>
        <v>-4.4152925488538664E-4</v>
      </c>
      <c r="R59" s="7">
        <f t="shared" si="47"/>
        <v>1.0748265796635403E-4</v>
      </c>
      <c r="S59" s="7" t="str">
        <f>IF(ABS(R59)&lt;$P$37,"выполнено","не выполнено")</f>
        <v>не выполнено</v>
      </c>
      <c r="T59" s="7">
        <v>14</v>
      </c>
    </row>
    <row r="60" spans="4:20" x14ac:dyDescent="0.25">
      <c r="N60" s="7">
        <f t="shared" si="43"/>
        <v>2.734375E-2</v>
      </c>
      <c r="O60" s="7">
        <f t="shared" si="44"/>
        <v>2.789306640625E-2</v>
      </c>
      <c r="P60" s="7">
        <f t="shared" si="45"/>
        <v>2.7618408203125E-2</v>
      </c>
      <c r="Q60" s="7">
        <f t="shared" si="46"/>
        <v>-4.4152925488538664E-4</v>
      </c>
      <c r="R60" s="7">
        <f t="shared" si="47"/>
        <v>-1.6702254077522599E-4</v>
      </c>
      <c r="S60" s="7" t="str">
        <f>IF(ABS(R60)&lt;$P$37,"выполнено","не выполнено")</f>
        <v>не выполнено</v>
      </c>
      <c r="T60" s="7">
        <v>15</v>
      </c>
    </row>
    <row r="61" spans="4:20" x14ac:dyDescent="0.25">
      <c r="N61" s="7">
        <f t="shared" si="43"/>
        <v>2.7618408203125E-2</v>
      </c>
      <c r="O61" s="7">
        <f t="shared" si="44"/>
        <v>2.789306640625E-2</v>
      </c>
      <c r="P61" s="7">
        <f t="shared" si="45"/>
        <v>2.77557373046875E-2</v>
      </c>
      <c r="Q61" s="7">
        <f t="shared" si="46"/>
        <v>-1.6702254077522599E-4</v>
      </c>
      <c r="R61" s="7">
        <f t="shared" si="47"/>
        <v>-2.9769751980913972E-5</v>
      </c>
      <c r="S61" s="7" t="str">
        <f>IF(ABS(R61)&lt;$P$37,"выполнено","не выполнено")</f>
        <v>выполнено</v>
      </c>
      <c r="T61" s="7">
        <v>16</v>
      </c>
    </row>
    <row r="62" spans="4:20" x14ac:dyDescent="0.25">
      <c r="N62" s="9"/>
      <c r="O62" s="9"/>
      <c r="P62" s="9"/>
      <c r="Q62" s="9"/>
      <c r="R62" s="9"/>
      <c r="S62" s="9"/>
      <c r="T62" s="9"/>
    </row>
    <row r="63" spans="4:20" x14ac:dyDescent="0.25">
      <c r="N63" s="15" t="s">
        <v>18</v>
      </c>
      <c r="O63" s="15"/>
    </row>
    <row r="64" spans="4:20" x14ac:dyDescent="0.25">
      <c r="N64" s="16"/>
      <c r="O64" s="16"/>
    </row>
  </sheetData>
  <mergeCells count="9">
    <mergeCell ref="D28:E28"/>
    <mergeCell ref="E45:H45"/>
    <mergeCell ref="D59:E59"/>
    <mergeCell ref="N12:O12"/>
    <mergeCell ref="D13:E13"/>
    <mergeCell ref="V10:W10"/>
    <mergeCell ref="V15:W15"/>
    <mergeCell ref="N39:O39"/>
    <mergeCell ref="E40:F4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2026-09-21T09:18:31Z</dcterms:created>
  <dcterms:modified xsi:type="dcterms:W3CDTF">2026-09-26T10:41:51Z</dcterms:modified>
</cp:coreProperties>
</file>