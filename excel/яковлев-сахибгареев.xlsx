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Downloads\"/>
    </mc:Choice>
  </mc:AlternateContent>
  <bookViews>
    <workbookView xWindow="0" yWindow="0" windowWidth="28800" windowHeight="124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33" i="1" l="1"/>
  <c r="Z33" i="1"/>
  <c r="Y33" i="1"/>
  <c r="Y30" i="1"/>
  <c r="X33" i="1"/>
  <c r="X30" i="1"/>
  <c r="Q31" i="1" l="1"/>
  <c r="P31" i="1"/>
  <c r="O28" i="1"/>
  <c r="N28" i="1"/>
  <c r="Z30" i="1" l="1"/>
  <c r="AB33" i="1"/>
  <c r="D29" i="1"/>
  <c r="C29" i="1"/>
  <c r="E32" i="1"/>
  <c r="F32" i="1"/>
  <c r="AB12" i="1"/>
  <c r="AC12" i="1" s="1"/>
  <c r="X13" i="1" s="1"/>
  <c r="Z13" i="1" s="1"/>
  <c r="Y8" i="1"/>
  <c r="X8" i="1"/>
  <c r="AC33" i="1" l="1"/>
  <c r="X34" i="1" s="1"/>
  <c r="Z34" i="1" s="1"/>
  <c r="AD33" i="1"/>
  <c r="R31" i="1"/>
  <c r="G32" i="1"/>
  <c r="I32" i="1" s="1"/>
  <c r="P28" i="1"/>
  <c r="E29" i="1"/>
  <c r="AD12" i="1"/>
  <c r="Z8" i="1"/>
  <c r="Y34" i="1" l="1"/>
  <c r="AA34" i="1" s="1"/>
  <c r="S31" i="1"/>
  <c r="N32" i="1" s="1"/>
  <c r="P32" i="1" s="1"/>
  <c r="T31" i="1"/>
  <c r="H32" i="1"/>
  <c r="C33" i="1" s="1"/>
  <c r="Y13" i="1"/>
  <c r="AB34" i="1" l="1"/>
  <c r="D33" i="1"/>
  <c r="F33" i="1" s="1"/>
  <c r="E33" i="1"/>
  <c r="G33" i="1"/>
  <c r="AA13" i="1"/>
  <c r="AB13" i="1" s="1"/>
  <c r="AC34" i="1" l="1"/>
  <c r="AD34" i="1"/>
  <c r="H33" i="1"/>
  <c r="C34" i="1" s="1"/>
  <c r="I33" i="1"/>
  <c r="AC13" i="1"/>
  <c r="X14" i="1" s="1"/>
  <c r="AD13" i="1"/>
  <c r="D34" i="1" l="1"/>
  <c r="F34" i="1" s="1"/>
  <c r="X35" i="1"/>
  <c r="Y35" i="1"/>
  <c r="AA35" i="1" s="1"/>
  <c r="E34" i="1"/>
  <c r="G34" i="1" s="1"/>
  <c r="Z35" i="1" l="1"/>
  <c r="AB35" i="1"/>
  <c r="H34" i="1"/>
  <c r="D35" i="1" s="1"/>
  <c r="F35" i="1" s="1"/>
  <c r="I34" i="1"/>
  <c r="Y14" i="1"/>
  <c r="AA14" i="1" s="1"/>
  <c r="AC35" i="1" l="1"/>
  <c r="AD35" i="1"/>
  <c r="C35" i="1"/>
  <c r="E35" i="1" s="1"/>
  <c r="G35" i="1" s="1"/>
  <c r="Z14" i="1"/>
  <c r="AB14" i="1" s="1"/>
  <c r="H35" i="1" l="1"/>
  <c r="I35" i="1"/>
  <c r="AC14" i="1"/>
  <c r="Y15" i="1" s="1"/>
  <c r="AA15" i="1" s="1"/>
  <c r="AD14" i="1"/>
  <c r="D36" i="1" l="1"/>
  <c r="F36" i="1" s="1"/>
  <c r="C36" i="1"/>
  <c r="X15" i="1"/>
  <c r="Z15" i="1" s="1"/>
  <c r="E36" i="1" l="1"/>
  <c r="G36" i="1"/>
  <c r="AB15" i="1"/>
  <c r="AD15" i="1" s="1"/>
  <c r="I36" i="1" l="1"/>
  <c r="H36" i="1"/>
  <c r="C37" i="1" s="1"/>
  <c r="AC15" i="1"/>
  <c r="D37" i="1" l="1"/>
  <c r="F37" i="1" s="1"/>
  <c r="E37" i="1"/>
  <c r="G37" i="1" s="1"/>
  <c r="X16" i="1"/>
  <c r="Y16" i="1"/>
  <c r="AA16" i="1" s="1"/>
  <c r="I37" i="1" l="1"/>
  <c r="H37" i="1"/>
  <c r="C38" i="1" s="1"/>
  <c r="E38" i="1" s="1"/>
  <c r="Z16" i="1"/>
  <c r="AB16" i="1"/>
  <c r="D38" i="1" l="1"/>
  <c r="F38" i="1" s="1"/>
  <c r="AC16" i="1"/>
  <c r="Y17" i="1" s="1"/>
  <c r="AA17" i="1" s="1"/>
  <c r="AD16" i="1"/>
  <c r="G38" i="1" l="1"/>
  <c r="X17" i="1"/>
  <c r="Z17" i="1" s="1"/>
  <c r="AB17" i="1" s="1"/>
  <c r="H38" i="1" l="1"/>
  <c r="I38" i="1"/>
  <c r="AC17" i="1"/>
  <c r="AD17" i="1"/>
  <c r="C39" i="1" l="1"/>
  <c r="D39" i="1"/>
  <c r="F39" i="1" s="1"/>
  <c r="E39" i="1" l="1"/>
  <c r="G39" i="1"/>
  <c r="H39" i="1" l="1"/>
  <c r="I39" i="1"/>
  <c r="C40" i="1"/>
  <c r="D40" i="1"/>
  <c r="F40" i="1" s="1"/>
  <c r="E40" i="1" l="1"/>
  <c r="G40" i="1"/>
  <c r="O8" i="1"/>
  <c r="N8" i="1"/>
  <c r="R12" i="1"/>
  <c r="G12" i="1"/>
  <c r="I12" i="1" s="1"/>
  <c r="H40" i="1" l="1"/>
  <c r="I40" i="1"/>
  <c r="P8" i="1"/>
  <c r="D8" i="1"/>
  <c r="C8" i="1"/>
  <c r="E8" i="1" l="1"/>
  <c r="H12" i="1"/>
  <c r="C13" i="1" l="1"/>
  <c r="D13" i="1"/>
  <c r="F13" i="1" s="1"/>
  <c r="E13" i="1" l="1"/>
  <c r="G13" i="1" l="1"/>
  <c r="I13" i="1" l="1"/>
  <c r="H13" i="1"/>
  <c r="C14" i="1" l="1"/>
  <c r="D14" i="1"/>
  <c r="F14" i="1" s="1"/>
  <c r="E14" i="1" l="1"/>
  <c r="G14" i="1" s="1"/>
  <c r="H14" i="1" l="1"/>
  <c r="I14" i="1"/>
  <c r="T12" i="1"/>
  <c r="S12" i="1"/>
  <c r="O13" i="1" l="1"/>
  <c r="Q13" i="1" s="1"/>
  <c r="N13" i="1"/>
  <c r="P13" i="1" s="1"/>
  <c r="R13" i="1" l="1"/>
  <c r="S13" i="1" l="1"/>
  <c r="O14" i="1" s="1"/>
  <c r="Q14" i="1" s="1"/>
  <c r="T13" i="1"/>
  <c r="N14" i="1" l="1"/>
  <c r="P14" i="1" s="1"/>
  <c r="R14" i="1" s="1"/>
  <c r="S14" i="1" l="1"/>
  <c r="N15" i="1" s="1"/>
  <c r="P15" i="1" s="1"/>
  <c r="T14" i="1"/>
  <c r="O15" i="1" l="1"/>
  <c r="Q15" i="1" s="1"/>
  <c r="R15" i="1" s="1"/>
  <c r="S15" i="1" l="1"/>
  <c r="T15" i="1"/>
  <c r="O32" i="1" l="1"/>
  <c r="Q32" i="1" s="1"/>
  <c r="R32" i="1" l="1"/>
  <c r="S32" i="1" l="1"/>
  <c r="T32" i="1"/>
  <c r="N33" i="1" l="1"/>
  <c r="O33" i="1"/>
  <c r="Q33" i="1" s="1"/>
  <c r="P33" i="1" l="1"/>
  <c r="R33" i="1" l="1"/>
  <c r="S33" i="1" l="1"/>
  <c r="T33" i="1"/>
  <c r="O34" i="1" l="1"/>
  <c r="Q34" i="1" s="1"/>
  <c r="N34" i="1"/>
  <c r="P34" i="1" l="1"/>
  <c r="R34" i="1"/>
  <c r="S34" i="1" l="1"/>
  <c r="T34" i="1"/>
  <c r="O35" i="1"/>
  <c r="Q35" i="1" s="1"/>
  <c r="N35" i="1"/>
  <c r="P35" i="1" l="1"/>
  <c r="R35" i="1"/>
  <c r="S35" i="1" l="1"/>
  <c r="O36" i="1" s="1"/>
  <c r="Q36" i="1" s="1"/>
  <c r="T35" i="1"/>
  <c r="N36" i="1"/>
  <c r="P36" i="1" l="1"/>
  <c r="R36" i="1" s="1"/>
  <c r="S36" i="1" l="1"/>
  <c r="T36" i="1"/>
</calcChain>
</file>

<file path=xl/sharedStrings.xml><?xml version="1.0" encoding="utf-8"?>
<sst xmlns="http://schemas.openxmlformats.org/spreadsheetml/2006/main" count="91" uniqueCount="16">
  <si>
    <t>a</t>
  </si>
  <si>
    <t>b</t>
  </si>
  <si>
    <t>e</t>
  </si>
  <si>
    <t>f(x)</t>
  </si>
  <si>
    <t>f(a)</t>
  </si>
  <si>
    <t>f(b)</t>
  </si>
  <si>
    <t>усл</t>
  </si>
  <si>
    <t>x</t>
  </si>
  <si>
    <t>итерация</t>
  </si>
  <si>
    <t>x = 0,099994</t>
  </si>
  <si>
    <t>x = 1,162685</t>
  </si>
  <si>
    <t>x = 1,162318</t>
  </si>
  <si>
    <t>f(x)=</t>
  </si>
  <si>
    <t>условие</t>
  </si>
  <si>
    <t>x = 3,999607</t>
  </si>
  <si>
    <t>x = -0,64792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</si>
</sst>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0" xfId="0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104775</xdr:colOff>
      <xdr:row>1</xdr:row>
      <xdr:rowOff>4762</xdr:rowOff>
    </xdr:from>
    <xdr:ext cx="1297984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xmlns="" id="{2F20AE94-4CFB-4A3A-8251-591372B2ADE0}"/>
                </a:ext>
              </a:extLst>
            </xdr:cNvPr>
            <xdr:cNvSpPr txBox="1"/>
          </xdr:nvSpPr>
          <xdr:spPr>
            <a:xfrm>
              <a:off x="1323975" y="195262"/>
              <a:ext cx="129798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 </m:t>
                    </m:r>
                    <m:func>
                      <m:func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cos</m:t>
                        </m:r>
                      </m:fName>
                      <m:e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−10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func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F20AE94-4CFB-4A3A-8251-591372B2ADE0}"/>
                </a:ext>
              </a:extLst>
            </xdr:cNvPr>
            <xdr:cNvSpPr txBox="1"/>
          </xdr:nvSpPr>
          <xdr:spPr>
            <a:xfrm>
              <a:off x="1323975" y="195262"/>
              <a:ext cx="129798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𝑓(𝑥)=  cos⁡〖𝑥^2−10𝑥〗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13</xdr:col>
      <xdr:colOff>47625</xdr:colOff>
      <xdr:row>1</xdr:row>
      <xdr:rowOff>4762</xdr:rowOff>
    </xdr:from>
    <xdr:ext cx="1520224" cy="19114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/>
            <xdr:cNvSpPr txBox="1"/>
          </xdr:nvSpPr>
          <xdr:spPr>
            <a:xfrm>
              <a:off x="8572500" y="195262"/>
              <a:ext cx="1520224" cy="1911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−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𝑎𝑟𝑐𝑡𝑔𝑥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)</m:t>
                        </m:r>
                        <m:r>
                          <m:rPr>
                            <m:nor/>
                          </m:rPr>
                          <a:rPr lang="ru-RU">
                            <a:effectLst/>
                          </a:rPr>
                          <m:t> 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3" name="TextBox 2"/>
            <xdr:cNvSpPr txBox="1"/>
          </xdr:nvSpPr>
          <xdr:spPr>
            <a:xfrm>
              <a:off x="8572500" y="195262"/>
              <a:ext cx="1520224" cy="1911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𝑓(𝑥)=𝑥 −〖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(𝑎𝑟𝑐𝑡𝑔𝑥)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r>
                <a:rPr lang="ru-RU" i="0">
                  <a:effectLst/>
                </a:rPr>
                <a:t> </a:t>
              </a:r>
              <a:r>
                <a:rPr lang="en-US" sz="1100" b="0" i="0">
                  <a:effectLst/>
                  <a:latin typeface="Cambria Math" panose="02040503050406030204" pitchFamily="18" charset="0"/>
                </a:rPr>
                <a:t>" 〗^(</a:t>
              </a:r>
              <a:r>
                <a:rPr lang="en-US" sz="1100" b="0" i="0">
                  <a:latin typeface="Cambria Math" panose="02040503050406030204" pitchFamily="18" charset="0"/>
                </a:rPr>
                <a:t>−1)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23</xdr:col>
      <xdr:colOff>85725</xdr:colOff>
      <xdr:row>0</xdr:row>
      <xdr:rowOff>90487</xdr:rowOff>
    </xdr:from>
    <xdr:ext cx="1551707" cy="32079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/>
            <xdr:cNvSpPr txBox="1"/>
          </xdr:nvSpPr>
          <xdr:spPr>
            <a:xfrm>
              <a:off x="16125825" y="90487"/>
              <a:ext cx="1551707" cy="3207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3+2</m:t>
                        </m:r>
                        <m:func>
                          <m:func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lang="en-US" sz="1100" b="0" i="0">
                                <a:latin typeface="Cambria Math" panose="02040503050406030204" pitchFamily="18" charset="0"/>
                              </a:rPr>
                              <m:t>cos</m:t>
                            </m:r>
                          </m:fName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func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 − 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4" name="TextBox 3"/>
            <xdr:cNvSpPr txBox="1"/>
          </xdr:nvSpPr>
          <xdr:spPr>
            <a:xfrm>
              <a:off x="16125825" y="90487"/>
              <a:ext cx="1551707" cy="3207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𝑓(𝑥)=  1/(3+2 cos⁡𝑥 )  − 𝑥^3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</xdr:col>
      <xdr:colOff>319454</xdr:colOff>
      <xdr:row>21</xdr:row>
      <xdr:rowOff>150935</xdr:rowOff>
    </xdr:from>
    <xdr:ext cx="914400" cy="26770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/>
            <xdr:cNvSpPr txBox="1"/>
          </xdr:nvSpPr>
          <xdr:spPr>
            <a:xfrm>
              <a:off x="22617479" y="150935"/>
              <a:ext cx="914400" cy="267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/>
                          </a:rPr>
                          <m:t>𝑥</m:t>
                        </m:r>
                      </m:e>
                      <m:sup>
                        <m:r>
                          <a:rPr lang="en-US" sz="1100" i="1">
                            <a:latin typeface="Cambria Math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latin typeface="Cambria Math"/>
                      </a:rPr>
                      <m:t>−5</m:t>
                    </m:r>
                    <m:r>
                      <a:rPr lang="en-US" sz="1100" b="0" i="1">
                        <a:latin typeface="Cambria Math"/>
                      </a:rPr>
                      <m:t>𝑥</m:t>
                    </m:r>
                    <m:r>
                      <a:rPr lang="en-US" sz="1100" b="0" i="1">
                        <a:latin typeface="Cambria Math"/>
                      </a:rPr>
                      <m:t>+4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5" name="TextBox 4"/>
            <xdr:cNvSpPr txBox="1"/>
          </xdr:nvSpPr>
          <xdr:spPr>
            <a:xfrm>
              <a:off x="22617479" y="150935"/>
              <a:ext cx="914400" cy="267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lang="en-US" sz="1100" i="0">
                  <a:latin typeface="Cambria Math"/>
                </a:rPr>
                <a:t>𝑥</a:t>
              </a:r>
              <a:r>
                <a:rPr lang="en-US" sz="1100" i="0">
                  <a:latin typeface="Cambria Math" panose="02040503050406030204" pitchFamily="18" charset="0"/>
                </a:rPr>
                <a:t>^</a:t>
              </a:r>
              <a:r>
                <a:rPr lang="en-US" sz="1100" i="0">
                  <a:latin typeface="Cambria Math"/>
                </a:rPr>
                <a:t>2</a:t>
              </a:r>
              <a:r>
                <a:rPr lang="en-US" sz="1100" b="0" i="0">
                  <a:latin typeface="Cambria Math"/>
                </a:rPr>
                <a:t>−5𝑥+4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13</xdr:col>
      <xdr:colOff>447675</xdr:colOff>
      <xdr:row>20</xdr:row>
      <xdr:rowOff>4762</xdr:rowOff>
    </xdr:from>
    <xdr:ext cx="734624" cy="3179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/>
            <xdr:cNvSpPr txBox="1"/>
          </xdr:nvSpPr>
          <xdr:spPr>
            <a:xfrm>
              <a:off x="8972550" y="3814762"/>
              <a:ext cx="734624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1+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1 −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 −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den>
                        </m:f>
                      </m:sup>
                    </m:sSup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8" name="TextBox 7"/>
            <xdr:cNvSpPr txBox="1"/>
          </xdr:nvSpPr>
          <xdr:spPr>
            <a:xfrm>
              <a:off x="8972550" y="3814762"/>
              <a:ext cx="734624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1+𝑥</a:t>
              </a:r>
              <a:r>
                <a:rPr lang="ru-RU" sz="1100" b="0" i="0">
                  <a:latin typeface="Cambria Math" panose="02040503050406030204" pitchFamily="18" charset="0"/>
                </a:rPr>
                <a:t>)/(</a:t>
              </a:r>
              <a:r>
                <a:rPr lang="en-US" sz="1100" b="0" i="0">
                  <a:latin typeface="Cambria Math" panose="02040503050406030204" pitchFamily="18" charset="0"/>
                </a:rPr>
                <a:t>1 −𝑥</a:t>
              </a:r>
              <a:r>
                <a:rPr lang="ru-RU" sz="1100" b="0" i="0">
                  <a:latin typeface="Cambria Math" panose="02040503050406030204" pitchFamily="18" charset="0"/>
                </a:rPr>
                <a:t>)</a:t>
              </a:r>
              <a:r>
                <a:rPr lang="en-US" sz="1100" b="0" i="0">
                  <a:latin typeface="Cambria Math" panose="02040503050406030204" pitchFamily="18" charset="0"/>
                </a:rPr>
                <a:t>  −𝑒^(1/𝑥)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23</xdr:col>
      <xdr:colOff>400050</xdr:colOff>
      <xdr:row>22</xdr:row>
      <xdr:rowOff>176212</xdr:rowOff>
    </xdr:from>
    <xdr:ext cx="1035861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/>
            <xdr:cNvSpPr txBox="1"/>
          </xdr:nvSpPr>
          <xdr:spPr>
            <a:xfrm>
              <a:off x="16440150" y="4367212"/>
              <a:ext cx="103586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 −3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−2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p>
                    </m:sSup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11" name="TextBox 10"/>
            <xdr:cNvSpPr txBox="1"/>
          </xdr:nvSpPr>
          <xdr:spPr>
            <a:xfrm>
              <a:off x="16440150" y="4367212"/>
              <a:ext cx="103586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𝑥^3  −3𝑥 −2𝑒^(−𝑥)</a:t>
              </a:r>
              <a:endParaRPr lang="ru-RU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AE42"/>
  <sheetViews>
    <sheetView tabSelected="1" topLeftCell="G13" workbookViewId="0">
      <selection activeCell="AB40" sqref="AB40"/>
    </sheetView>
  </sheetViews>
  <sheetFormatPr defaultRowHeight="15" x14ac:dyDescent="0.25"/>
  <cols>
    <col min="5" max="5" width="13" customWidth="1"/>
    <col min="9" max="9" width="14.28515625" customWidth="1"/>
    <col min="16" max="16" width="11.28515625" customWidth="1"/>
    <col min="19" max="19" width="22.7109375" bestFit="1" customWidth="1"/>
    <col min="20" max="20" width="14.7109375" customWidth="1"/>
    <col min="26" max="26" width="11.42578125" customWidth="1"/>
    <col min="30" max="30" width="12.5703125" customWidth="1"/>
  </cols>
  <sheetData>
    <row r="4" spans="3:31" x14ac:dyDescent="0.25">
      <c r="C4" s="3" t="s">
        <v>0</v>
      </c>
      <c r="D4" s="3" t="s">
        <v>1</v>
      </c>
      <c r="E4" s="3" t="s">
        <v>2</v>
      </c>
      <c r="N4" s="3" t="s">
        <v>0</v>
      </c>
      <c r="O4" s="3" t="s">
        <v>1</v>
      </c>
      <c r="P4" s="3" t="s">
        <v>2</v>
      </c>
      <c r="X4" s="3" t="s">
        <v>0</v>
      </c>
      <c r="Y4" s="3" t="s">
        <v>1</v>
      </c>
      <c r="Z4" s="3" t="s">
        <v>2</v>
      </c>
    </row>
    <row r="5" spans="3:31" x14ac:dyDescent="0.25">
      <c r="C5" s="1">
        <v>0</v>
      </c>
      <c r="D5" s="1">
        <v>6</v>
      </c>
      <c r="E5" s="1">
        <v>1E-3</v>
      </c>
      <c r="N5" s="1">
        <v>1</v>
      </c>
      <c r="O5" s="1">
        <v>7</v>
      </c>
      <c r="P5" s="1">
        <v>1E-3</v>
      </c>
      <c r="X5" s="1">
        <v>-1</v>
      </c>
      <c r="Y5" s="1">
        <v>1</v>
      </c>
      <c r="Z5" s="1">
        <v>1E-3</v>
      </c>
    </row>
    <row r="7" spans="3:31" x14ac:dyDescent="0.25">
      <c r="C7" s="3" t="s">
        <v>4</v>
      </c>
      <c r="D7" s="3" t="s">
        <v>5</v>
      </c>
      <c r="E7" s="3" t="s">
        <v>6</v>
      </c>
      <c r="N7" s="3" t="s">
        <v>4</v>
      </c>
      <c r="O7" s="3" t="s">
        <v>5</v>
      </c>
      <c r="P7" s="3" t="s">
        <v>6</v>
      </c>
      <c r="X7" s="3" t="s">
        <v>4</v>
      </c>
      <c r="Y7" s="3" t="s">
        <v>5</v>
      </c>
      <c r="Z7" s="3" t="s">
        <v>6</v>
      </c>
    </row>
    <row r="8" spans="3:31" x14ac:dyDescent="0.25">
      <c r="C8" s="1">
        <f>COS(C5^2) - 10*C5</f>
        <v>1</v>
      </c>
      <c r="D8" s="1">
        <f>COS(D5^2)-10*D5</f>
        <v>-60.127963689627407</v>
      </c>
      <c r="E8" s="1" t="str">
        <f>IF((C8*D8)&lt;0,"выполнено", "не выполнено")</f>
        <v>выполнено</v>
      </c>
      <c r="N8" s="1">
        <f>N5 - (ATAN(N5))^(-1)</f>
        <v>-0.27323954473516276</v>
      </c>
      <c r="O8" s="1">
        <f>O5-(ATAN(O5))^(-1)</f>
        <v>6.3001606065157842</v>
      </c>
      <c r="P8" s="1" t="str">
        <f>IF((N8*O8)&lt;0,"выполнено", "не выполнено")</f>
        <v>выполнено</v>
      </c>
      <c r="X8" s="1">
        <f>1/(3+2*COS(X5))-X5^3</f>
        <v>1.2450617237268926</v>
      </c>
      <c r="Y8" s="1">
        <f>1/(3+2*COS(Y5))-Y5^3</f>
        <v>-0.75493827627310739</v>
      </c>
      <c r="Z8" s="1" t="str">
        <f>IF((X8*Y8)&lt;0,"выполнено", "не выполнено")</f>
        <v>выполнено</v>
      </c>
    </row>
    <row r="11" spans="3:31" x14ac:dyDescent="0.25">
      <c r="C11" s="3" t="s">
        <v>0</v>
      </c>
      <c r="D11" s="3" t="s">
        <v>1</v>
      </c>
      <c r="E11" s="3" t="s">
        <v>4</v>
      </c>
      <c r="F11" s="3" t="s">
        <v>5</v>
      </c>
      <c r="G11" s="3" t="s">
        <v>7</v>
      </c>
      <c r="H11" s="3" t="s">
        <v>3</v>
      </c>
      <c r="I11" s="3" t="s">
        <v>6</v>
      </c>
      <c r="J11" s="3" t="s">
        <v>8</v>
      </c>
      <c r="N11" s="3" t="s">
        <v>0</v>
      </c>
      <c r="O11" s="3" t="s">
        <v>1</v>
      </c>
      <c r="P11" s="3" t="s">
        <v>4</v>
      </c>
      <c r="Q11" s="3" t="s">
        <v>5</v>
      </c>
      <c r="R11" s="3" t="s">
        <v>7</v>
      </c>
      <c r="S11" s="3" t="s">
        <v>3</v>
      </c>
      <c r="T11" s="3" t="s">
        <v>6</v>
      </c>
      <c r="U11" s="3" t="s">
        <v>8</v>
      </c>
      <c r="X11" s="3" t="s">
        <v>0</v>
      </c>
      <c r="Y11" s="3" t="s">
        <v>1</v>
      </c>
      <c r="Z11" s="3" t="s">
        <v>4</v>
      </c>
      <c r="AA11" s="3" t="s">
        <v>5</v>
      </c>
      <c r="AB11" s="3" t="s">
        <v>7</v>
      </c>
      <c r="AC11" s="3" t="s">
        <v>3</v>
      </c>
      <c r="AD11" s="3" t="s">
        <v>6</v>
      </c>
      <c r="AE11" s="3" t="s">
        <v>8</v>
      </c>
    </row>
    <row r="12" spans="3:31" x14ac:dyDescent="0.25">
      <c r="C12" s="1">
        <v>0</v>
      </c>
      <c r="D12" s="1">
        <v>6</v>
      </c>
      <c r="E12" s="1">
        <v>1</v>
      </c>
      <c r="F12" s="1">
        <v>-60.128</v>
      </c>
      <c r="G12" s="1">
        <f>C12-E12*(C12-D12)/(E12-F12)</f>
        <v>9.8154691794267765E-2</v>
      </c>
      <c r="H12" s="1">
        <f>COS(G12^2)-10*G12</f>
        <v>1.8406672128764456E-2</v>
      </c>
      <c r="I12" s="1" t="str">
        <f>IF(ABS(C12-G12)&lt;$E$5, "выполнено", "не выполнено")</f>
        <v>не выполнено</v>
      </c>
      <c r="J12" s="1">
        <v>1</v>
      </c>
      <c r="N12" s="1">
        <v>1</v>
      </c>
      <c r="O12" s="1">
        <v>7</v>
      </c>
      <c r="P12" s="1">
        <v>-0.27323999999999998</v>
      </c>
      <c r="Q12" s="1">
        <v>6.3001610000000001</v>
      </c>
      <c r="R12" s="1">
        <f>N12-P12*(N12-O12)/(P12-Q12)</f>
        <v>1.2494051405048923</v>
      </c>
      <c r="S12" s="1">
        <f>R12 - ATAN(R12)^(-1)</f>
        <v>0.13311341488079709</v>
      </c>
      <c r="T12" s="1" t="str">
        <f>IF(ABS(N12-R12)&lt;$P$5, "выполнено", "не выполнено")</f>
        <v>не выполнено</v>
      </c>
      <c r="U12" s="1">
        <v>1</v>
      </c>
      <c r="X12" s="1">
        <v>-1</v>
      </c>
      <c r="Y12" s="1">
        <v>1</v>
      </c>
      <c r="Z12" s="1">
        <v>1.2450619999999999</v>
      </c>
      <c r="AA12" s="1">
        <v>-0.75494000000000006</v>
      </c>
      <c r="AB12" s="1">
        <f>X12-Z12*(X12-Y12)/(Z12-AA12)</f>
        <v>0.24506075493924495</v>
      </c>
      <c r="AC12" s="1">
        <f>1/(3+2*COS(AB12))-AB12^3</f>
        <v>0.18770203553040327</v>
      </c>
      <c r="AD12" s="1" t="str">
        <f>IF(ABS(X12-AB12)&lt;$P$5, "выполнено", "не выполнено")</f>
        <v>не выполнено</v>
      </c>
      <c r="AE12" s="1">
        <v>1</v>
      </c>
    </row>
    <row r="13" spans="3:31" x14ac:dyDescent="0.25">
      <c r="C13" s="1">
        <f>IF(E12 * H12 &lt; 0, C12, G12)</f>
        <v>9.8154691794267765E-2</v>
      </c>
      <c r="D13" s="1">
        <f>IF(E12*H12&lt;0,G12,D12)</f>
        <v>6</v>
      </c>
      <c r="E13" s="1">
        <f>COS(C13^2)-10*C13</f>
        <v>1.8406672128764456E-2</v>
      </c>
      <c r="F13" s="1">
        <f>COS(D13^2)-10*D13</f>
        <v>-60.127963689627407</v>
      </c>
      <c r="G13" s="1">
        <f>C13-E13*(C13-D13)/(E13-F13)</f>
        <v>9.9960841207598017E-2</v>
      </c>
      <c r="H13" s="1">
        <f>COS(G13^2)-10*G13</f>
        <v>3.4166661097612128E-4</v>
      </c>
      <c r="I13" s="1" t="str">
        <f>IF(ABS(C13-G13)&lt;$E$5, "выполнено", "не выполнено")</f>
        <v>не выполнено</v>
      </c>
      <c r="J13" s="1">
        <v>2</v>
      </c>
      <c r="N13" s="1">
        <f>IF(P12 * S12 &lt; 0, N12, R12)</f>
        <v>1</v>
      </c>
      <c r="O13" s="1">
        <f>IF(P12*S12&lt;0,R12,O12)</f>
        <v>1.2494051405048923</v>
      </c>
      <c r="P13" s="1">
        <f>N13 - (ATAN(N13))^(-1)</f>
        <v>-0.27323954473516276</v>
      </c>
      <c r="Q13" s="1">
        <f>O13-(ATAN(O13))^(-1)</f>
        <v>0.13311341488079709</v>
      </c>
      <c r="R13" s="1">
        <f>N13-P13*(N13-O13)/(P13-Q13)</f>
        <v>1.1677048128567131</v>
      </c>
      <c r="S13" s="1">
        <f>R13 - (ATAN(R13))^(-1)</f>
        <v>8.4317199800703069E-3</v>
      </c>
      <c r="T13" s="1" t="str">
        <f>IF(ABS(R12-R13)&lt;$P$5, "выполнено", "не выполнено")</f>
        <v>не выполнено</v>
      </c>
      <c r="U13" s="1">
        <v>2</v>
      </c>
      <c r="X13" s="1">
        <f>IF(Z12 * AC12 &lt; 0, X12, AB12)</f>
        <v>0.24506075493924495</v>
      </c>
      <c r="Y13" s="1">
        <f>IF(Z12*AC12&lt;0,AB12,Y12)</f>
        <v>1</v>
      </c>
      <c r="Z13" s="1">
        <f>1/(3+2*COS(X13))-X13^3</f>
        <v>0.18770203553040327</v>
      </c>
      <c r="AA13" s="1">
        <f>1/(3+2*COS(Y13))-Y13^3</f>
        <v>-0.75493827627310739</v>
      </c>
      <c r="AB13" s="1">
        <f>X13-Z13*(X13-Y13)/(Z13-AA13)</f>
        <v>0.39538705779868299</v>
      </c>
      <c r="AC13" s="1">
        <f>1/(3+2*COS(AB13))-AB13^3</f>
        <v>0.14455751675209905</v>
      </c>
      <c r="AD13" s="1" t="str">
        <f>IF(ABS(AB12-AB13)&lt;$P$5, "выполнено", "не выполнено")</f>
        <v>не выполнено</v>
      </c>
      <c r="AE13" s="1">
        <v>2</v>
      </c>
    </row>
    <row r="14" spans="3:31" x14ac:dyDescent="0.25">
      <c r="C14" s="1">
        <f t="shared" ref="C14" si="0">IF(E13 * H13 &lt; 0, C13, G13)</f>
        <v>9.9960841207598017E-2</v>
      </c>
      <c r="D14" s="1">
        <f t="shared" ref="D14" si="1">IF(E13*H13&lt;0,G13,D13)</f>
        <v>6</v>
      </c>
      <c r="E14" s="1">
        <f t="shared" ref="E14" si="2">COS(C14^2)-10*C14</f>
        <v>3.4166661097612128E-4</v>
      </c>
      <c r="F14" s="1">
        <f t="shared" ref="F14" si="3">COS(D14^2)-10*D14</f>
        <v>-60.127963689627407</v>
      </c>
      <c r="G14" s="1">
        <f t="shared" ref="G14" si="4">C14-E14*(C14-D14)/(E14-F14)</f>
        <v>9.9994366955115224E-2</v>
      </c>
      <c r="H14" s="1">
        <f t="shared" ref="H14" si="5">COS(G14^2)-10*G14</f>
        <v>6.3421304632438336E-6</v>
      </c>
      <c r="I14" s="1" t="str">
        <f t="shared" ref="I14" si="6">IF(ABS(C14-G14)&lt;$E$5, "выполнено", "не выполнено")</f>
        <v>выполнено</v>
      </c>
      <c r="J14" s="1">
        <v>3</v>
      </c>
      <c r="N14" s="1">
        <f>IF(P13 * S13 &lt; 0, N13, R13)</f>
        <v>1</v>
      </c>
      <c r="O14" s="1">
        <f>IF(P13*S13&lt;0,R13,O13)</f>
        <v>1.1677048128567131</v>
      </c>
      <c r="P14" s="1">
        <f t="shared" ref="P14:P15" si="7">N14 - (ATAN(N14))^(-1)</f>
        <v>-0.27323954473516276</v>
      </c>
      <c r="Q14" s="1">
        <f t="shared" ref="Q14:Q15" si="8">O14-(ATAN(O14))^(-1)</f>
        <v>8.4317199800703069E-3</v>
      </c>
      <c r="R14" s="1">
        <f t="shared" ref="R14" si="9">N14-P14*(N14-O14)/(P14-Q14)</f>
        <v>1.1626846343775648</v>
      </c>
      <c r="S14" s="1">
        <f t="shared" ref="S14:S15" si="10">R14 - (ATAN(R14))^(-1)</f>
        <v>5.4287609427894346E-4</v>
      </c>
      <c r="T14" s="1" t="str">
        <f>IF(ABS(R13-R14)&lt;$P$5, "выполнено", "не выполнено")</f>
        <v>не выполнено</v>
      </c>
      <c r="U14" s="1">
        <v>3</v>
      </c>
      <c r="X14" s="1">
        <f>IF(Z13 * AC13 &lt; 0, X13, AB13)</f>
        <v>0.39538705779868299</v>
      </c>
      <c r="Y14" s="1">
        <f>IF(Z13*AC13&lt;0,AB13,Y13)</f>
        <v>1</v>
      </c>
      <c r="Z14" s="1">
        <f t="shared" ref="Z14:Z15" si="11">X14 - (ATAN(X14))^(-1)</f>
        <v>-2.2604904555587488</v>
      </c>
      <c r="AA14" s="1">
        <f t="shared" ref="AA14:AA15" si="12">Y14-(ATAN(Y14))^(-1)</f>
        <v>-0.27323954473516276</v>
      </c>
      <c r="AB14" s="1">
        <f t="shared" ref="AB14" si="13">X14-Z14*(X14-Y14)/(Z14-AA14)</f>
        <v>1.0831320112464353</v>
      </c>
      <c r="AC14" s="1">
        <f>1/(3+2*COS(AB14))-AB14^3</f>
        <v>-1.0167110654622158</v>
      </c>
      <c r="AD14" s="1" t="str">
        <f>IF(ABS(AB13-AB14)&lt;$P$5, "выполнено", "не выполнено")</f>
        <v>не выполнено</v>
      </c>
      <c r="AE14" s="1">
        <v>3</v>
      </c>
    </row>
    <row r="15" spans="3:31" x14ac:dyDescent="0.25">
      <c r="N15" s="1">
        <f t="shared" ref="N15" si="14">IF(P14 * S14 &lt; 0, N14, R14)</f>
        <v>1</v>
      </c>
      <c r="O15" s="1">
        <f t="shared" ref="O15" si="15">IF(P14*S14&lt;0,R14,O14)</f>
        <v>1.1626846343775648</v>
      </c>
      <c r="P15" s="1">
        <f t="shared" si="7"/>
        <v>-0.27323954473516276</v>
      </c>
      <c r="Q15" s="1">
        <f t="shared" si="8"/>
        <v>5.4287609427894346E-4</v>
      </c>
      <c r="R15" s="1">
        <f>N15-P15*(N15-O15)/(P15-Q15)</f>
        <v>1.1623620512159341</v>
      </c>
      <c r="S15" s="1">
        <f t="shared" si="10"/>
        <v>3.4986087863009274E-5</v>
      </c>
      <c r="T15" s="1" t="str">
        <f>IF(ABS(R14-R15)&lt;$P$5, "выполнено", "не выполнено")</f>
        <v>выполнено</v>
      </c>
      <c r="U15" s="1">
        <v>4</v>
      </c>
      <c r="X15" s="1">
        <f t="shared" ref="X15" si="16">IF(Z14 * AC14 &lt; 0, X14, AB14)</f>
        <v>1.0831320112464353</v>
      </c>
      <c r="Y15" s="1">
        <f t="shared" ref="Y15" si="17">IF(Z14*AC14&lt;0,AB14,Y14)</f>
        <v>1</v>
      </c>
      <c r="Z15" s="1">
        <f t="shared" si="11"/>
        <v>-0.12857175761346151</v>
      </c>
      <c r="AA15" s="1">
        <f t="shared" si="12"/>
        <v>-0.27323954473516276</v>
      </c>
      <c r="AB15" s="1">
        <f>X15-Z15*(X15-Y15)/(Z15-AA15)</f>
        <v>1.1570145874062865</v>
      </c>
      <c r="AC15" s="1">
        <f t="shared" ref="AC15:AC17" si="18">1/(3+2*COS(AB15))-AB15^3</f>
        <v>-1.2860046336241582</v>
      </c>
      <c r="AD15" s="1" t="str">
        <f>IF(ABS(AB14-AB15)&lt;$P$5, "выполнено", "не выполнено")</f>
        <v>не выполнено</v>
      </c>
      <c r="AE15" s="1">
        <v>4</v>
      </c>
    </row>
    <row r="16" spans="3:31" x14ac:dyDescent="0.25">
      <c r="C16" s="2" t="s">
        <v>9</v>
      </c>
      <c r="D16" s="2"/>
      <c r="X16" s="1">
        <f t="shared" ref="X16:X17" si="19">IF(Z15 * AC15 &lt; 0, X15, AB15)</f>
        <v>1.1570145874062865</v>
      </c>
      <c r="Y16" s="1">
        <f t="shared" ref="Y16:Y17" si="20">IF(Z15*AC15&lt;0,AB15,Y15)</f>
        <v>1</v>
      </c>
      <c r="Z16" s="1">
        <f t="shared" ref="Z16:Z17" si="21">X16 - (ATAN(X16))^(-1)</f>
        <v>-8.4016189416105114E-3</v>
      </c>
      <c r="AA16" s="1">
        <f t="shared" ref="AA16:AA17" si="22">Y16-(ATAN(Y16))^(-1)</f>
        <v>-0.27323954473516276</v>
      </c>
      <c r="AB16" s="1">
        <f t="shared" ref="AB16:AB17" si="23">X16-Z16*(X16-Y16)/(Z16-AA16)</f>
        <v>1.1619956592361955</v>
      </c>
      <c r="AC16" s="1">
        <f t="shared" si="18"/>
        <v>-1.3054625983931376</v>
      </c>
      <c r="AD16" s="1" t="str">
        <f>IF(ABS(AB15-AB16)&lt;$P$5, "выполнено", "не выполнено")</f>
        <v>не выполнено</v>
      </c>
      <c r="AE16" s="1">
        <v>5</v>
      </c>
    </row>
    <row r="17" spans="3:31" x14ac:dyDescent="0.25">
      <c r="N17" s="4" t="s">
        <v>10</v>
      </c>
      <c r="O17" s="4"/>
      <c r="X17" s="1">
        <f t="shared" si="19"/>
        <v>1.1619956592361955</v>
      </c>
      <c r="Y17" s="1">
        <f t="shared" si="20"/>
        <v>1</v>
      </c>
      <c r="Z17" s="1">
        <f t="shared" si="21"/>
        <v>-5.420220032383849E-4</v>
      </c>
      <c r="AA17" s="1">
        <f t="shared" si="22"/>
        <v>-0.27323954473516276</v>
      </c>
      <c r="AB17" s="1">
        <f t="shared" si="23"/>
        <v>1.1623176468026959</v>
      </c>
      <c r="AC17" s="1">
        <f t="shared" si="18"/>
        <v>-1.3067261968995325</v>
      </c>
      <c r="AD17" s="1" t="str">
        <f>IF(ABS(AB16-AB17)&lt;$P$5, "выполнено", "не выполнено")</f>
        <v>выполнено</v>
      </c>
      <c r="AE17" s="1">
        <v>6</v>
      </c>
    </row>
    <row r="19" spans="3:31" x14ac:dyDescent="0.25">
      <c r="X19" s="4" t="s">
        <v>11</v>
      </c>
      <c r="Y19" s="4"/>
    </row>
    <row r="23" spans="3:31" x14ac:dyDescent="0.25">
      <c r="C23" t="s">
        <v>12</v>
      </c>
    </row>
    <row r="24" spans="3:31" x14ac:dyDescent="0.25">
      <c r="N24" s="3" t="s">
        <v>0</v>
      </c>
      <c r="O24" s="3" t="s">
        <v>1</v>
      </c>
      <c r="P24" s="3" t="s">
        <v>2</v>
      </c>
    </row>
    <row r="25" spans="3:31" x14ac:dyDescent="0.25">
      <c r="C25" s="3" t="s">
        <v>0</v>
      </c>
      <c r="D25" s="3" t="s">
        <v>1</v>
      </c>
      <c r="E25" s="3" t="s">
        <v>2</v>
      </c>
      <c r="N25" s="1">
        <v>-6</v>
      </c>
      <c r="O25" s="1">
        <v>0.7</v>
      </c>
      <c r="P25" s="1">
        <v>1E-3</v>
      </c>
    </row>
    <row r="26" spans="3:31" x14ac:dyDescent="0.25">
      <c r="C26" s="1">
        <v>3</v>
      </c>
      <c r="D26" s="1">
        <v>6</v>
      </c>
      <c r="E26" s="1">
        <v>1E-3</v>
      </c>
      <c r="X26" s="3" t="s">
        <v>0</v>
      </c>
      <c r="Y26" s="3" t="s">
        <v>1</v>
      </c>
      <c r="Z26" s="3" t="s">
        <v>2</v>
      </c>
    </row>
    <row r="27" spans="3:31" x14ac:dyDescent="0.25">
      <c r="N27" s="3" t="s">
        <v>4</v>
      </c>
      <c r="O27" s="3" t="s">
        <v>5</v>
      </c>
      <c r="P27" s="3" t="s">
        <v>13</v>
      </c>
      <c r="X27" s="1">
        <v>1</v>
      </c>
      <c r="Y27" s="1">
        <v>2</v>
      </c>
      <c r="Z27" s="1">
        <v>1E-3</v>
      </c>
    </row>
    <row r="28" spans="3:31" x14ac:dyDescent="0.25">
      <c r="C28" s="3" t="s">
        <v>4</v>
      </c>
      <c r="D28" s="3" t="s">
        <v>5</v>
      </c>
      <c r="E28" s="3" t="s">
        <v>13</v>
      </c>
      <c r="N28" s="1">
        <f xml:space="preserve"> (1+ N25)/(1-N25)-EXP(1/N25)</f>
        <v>-1.5607674391763284</v>
      </c>
      <c r="O28" s="1">
        <f xml:space="preserve"> (1+ O25)/(1-O25)-EXP(1/O25)</f>
        <v>1.49393278306857</v>
      </c>
      <c r="P28" s="1" t="str">
        <f>IF(N28*O28&lt;0,"выполнено","не выполнено")</f>
        <v>выполнено</v>
      </c>
    </row>
    <row r="29" spans="3:31" x14ac:dyDescent="0.25">
      <c r="C29" s="1">
        <f>(C26)^2-5*C26+4</f>
        <v>-2</v>
      </c>
      <c r="D29" s="1">
        <f>(D26)^2-5*D26+4</f>
        <v>10</v>
      </c>
      <c r="E29" s="1" t="str">
        <f>IF(C29*D29&lt;0,"выполнено","не выполнено")</f>
        <v>выполнено</v>
      </c>
      <c r="X29" s="3" t="s">
        <v>4</v>
      </c>
      <c r="Y29" s="3" t="s">
        <v>5</v>
      </c>
      <c r="Z29" s="3" t="s">
        <v>13</v>
      </c>
    </row>
    <row r="30" spans="3:31" x14ac:dyDescent="0.25">
      <c r="N30" s="3" t="s">
        <v>0</v>
      </c>
      <c r="O30" s="3" t="s">
        <v>1</v>
      </c>
      <c r="P30" s="3" t="s">
        <v>4</v>
      </c>
      <c r="Q30" s="3" t="s">
        <v>5</v>
      </c>
      <c r="R30" s="3" t="s">
        <v>7</v>
      </c>
      <c r="S30" s="3" t="s">
        <v>3</v>
      </c>
      <c r="T30" s="3" t="s">
        <v>13</v>
      </c>
      <c r="U30" s="3" t="s">
        <v>8</v>
      </c>
      <c r="X30" s="1">
        <f>X27^3 - 3 * X27 - 2* EXP(-X27)</f>
        <v>-2.7357588823428847</v>
      </c>
      <c r="Y30" s="1">
        <f>Y27^3 - 3 * Y27 - 2* EXP(-Y27)</f>
        <v>1.7293294335267746</v>
      </c>
      <c r="Z30" s="1" t="str">
        <f>IF(X30*Y30&lt;0,"выполнено","не выполнено")</f>
        <v>выполнено</v>
      </c>
    </row>
    <row r="31" spans="3:31" x14ac:dyDescent="0.25">
      <c r="C31" s="3" t="s">
        <v>0</v>
      </c>
      <c r="D31" s="3" t="s">
        <v>1</v>
      </c>
      <c r="E31" s="3" t="s">
        <v>4</v>
      </c>
      <c r="F31" s="3" t="s">
        <v>5</v>
      </c>
      <c r="G31" s="3" t="s">
        <v>7</v>
      </c>
      <c r="H31" s="3" t="s">
        <v>3</v>
      </c>
      <c r="I31" s="3" t="s">
        <v>13</v>
      </c>
      <c r="J31" s="3" t="s">
        <v>8</v>
      </c>
      <c r="N31" s="1">
        <v>-6</v>
      </c>
      <c r="O31" s="1">
        <v>0.7</v>
      </c>
      <c r="P31" s="1">
        <f xml:space="preserve"> (1+ N31)/(1-N31)-EXP(1/N31)</f>
        <v>-1.5607674391763284</v>
      </c>
      <c r="Q31" s="1">
        <f xml:space="preserve"> (1+ O31)/(1-O31)-EXP(1/O31)</f>
        <v>1.49393278306857</v>
      </c>
      <c r="R31" s="1">
        <f>N31-(P31*(N31-O31)/(P31-Q31))</f>
        <v>-2.5767043959565861</v>
      </c>
      <c r="S31" s="1">
        <f>( 1+ R31)/(1-R31)-EXP(1/R31)</f>
        <v>-1.1191755301405082</v>
      </c>
      <c r="T31" s="1" t="str">
        <f>IF(ABS(N31 - R31) &lt; $P$25, "выполнено", "не выполнено")</f>
        <v>не выполнено</v>
      </c>
      <c r="U31" s="1">
        <v>1</v>
      </c>
    </row>
    <row r="32" spans="3:31" x14ac:dyDescent="0.25">
      <c r="C32" s="1">
        <v>3</v>
      </c>
      <c r="D32" s="1">
        <v>6</v>
      </c>
      <c r="E32" s="1">
        <f>(C32)^2-5*C32+4</f>
        <v>-2</v>
      </c>
      <c r="F32" s="1">
        <f>(D32)^2-5*D32+4</f>
        <v>10</v>
      </c>
      <c r="G32" s="1">
        <f>C32-(E32*(C32-D32)/(E32-F32))</f>
        <v>3.5</v>
      </c>
      <c r="H32" s="1">
        <f>(G32)^2-5*G32+4</f>
        <v>-1.25</v>
      </c>
      <c r="I32" s="1" t="str">
        <f>IF(ABS(C32 - G32) &lt; $E$26, "выполнено", "не выполнено")</f>
        <v>не выполнено</v>
      </c>
      <c r="J32" s="1">
        <v>1</v>
      </c>
      <c r="N32" s="1">
        <f>IF(P31 *S31 &lt; 0, N31, R31)</f>
        <v>-2.5767043959565861</v>
      </c>
      <c r="O32" s="1">
        <f>IF(P31*S31&lt;0,R31,O31)</f>
        <v>0.7</v>
      </c>
      <c r="P32" s="1">
        <f xml:space="preserve"> (1+ N32)/(1-N32)-EXP(1/N32)</f>
        <v>-1.1191755301405082</v>
      </c>
      <c r="Q32" s="1">
        <f xml:space="preserve"> (1+ O32)/(1-O32)-EXP(1/O32)</f>
        <v>1.49393278306857</v>
      </c>
      <c r="R32" s="1">
        <f>N32-(P32*(N32-O32)/(P32-Q32))</f>
        <v>-1.1733154277607516</v>
      </c>
      <c r="S32" s="1">
        <f xml:space="preserve"> (1+ R32)/(1-R32)-EXP(1/R32)</f>
        <v>-0.50618611047585005</v>
      </c>
      <c r="T32" s="1" t="str">
        <f>IF(ABS(R31 - R32) &lt; $P$25, "выполнено", "не выполнено")</f>
        <v>не выполнено</v>
      </c>
      <c r="U32" s="1">
        <v>2</v>
      </c>
      <c r="X32" s="3" t="s">
        <v>0</v>
      </c>
      <c r="Y32" s="3" t="s">
        <v>1</v>
      </c>
      <c r="Z32" s="3" t="s">
        <v>4</v>
      </c>
      <c r="AA32" s="3" t="s">
        <v>5</v>
      </c>
      <c r="AB32" s="3" t="s">
        <v>7</v>
      </c>
      <c r="AC32" s="3" t="s">
        <v>3</v>
      </c>
      <c r="AD32" s="3" t="s">
        <v>13</v>
      </c>
      <c r="AE32" s="3" t="s">
        <v>8</v>
      </c>
    </row>
    <row r="33" spans="3:31" x14ac:dyDescent="0.25">
      <c r="C33" s="1">
        <f>IF(E32 *H32 &lt; 0, C32, G32)</f>
        <v>3.5</v>
      </c>
      <c r="D33" s="1">
        <f>IF(E32*H32&lt;0,G32,D32)</f>
        <v>6</v>
      </c>
      <c r="E33" s="1">
        <f>(C33)^2-5*C33+4</f>
        <v>-1.25</v>
      </c>
      <c r="F33" s="1">
        <f>(D33)^2-5*D33+4</f>
        <v>10</v>
      </c>
      <c r="G33" s="1">
        <f>C33-(E33*(C33-D33)/(E33-F33))</f>
        <v>3.7777777777777777</v>
      </c>
      <c r="H33" s="1">
        <f>(G33)^2-5*G33+4</f>
        <v>-0.61728395061728492</v>
      </c>
      <c r="I33" s="1" t="str">
        <f>IF(ABS(G32 - G33) &lt; $E$26, "выполнено", "не выполнено")</f>
        <v>не выполнено</v>
      </c>
      <c r="J33" s="1">
        <v>2</v>
      </c>
      <c r="N33" s="1">
        <f t="shared" ref="N33:N36" si="24">IF(P32 *S32 &lt; 0, N32, R32)</f>
        <v>-1.1733154277607516</v>
      </c>
      <c r="O33" s="1">
        <f t="shared" ref="O33:O36" si="25">IF(P32*S32&lt;0,R32,O32)</f>
        <v>0.7</v>
      </c>
      <c r="P33" s="1">
        <f t="shared" ref="P33:P36" si="26" xml:space="preserve"> (1+ N33)/(1-N33)-EXP(1/N33)</f>
        <v>-0.50618611047585005</v>
      </c>
      <c r="Q33" s="1">
        <f t="shared" ref="Q33:Q36" si="27" xml:space="preserve"> (1+ O33)/(1-O33)-EXP(1/O33)</f>
        <v>1.49393278306857</v>
      </c>
      <c r="R33" s="1">
        <f t="shared" ref="R33:R36" si="28">N33-(P33*(N33-O33)/(P33-Q33))</f>
        <v>-0.69922048613844323</v>
      </c>
      <c r="S33" s="1">
        <f t="shared" ref="S33:S36" si="29" xml:space="preserve"> (1+ R33)/(1-R33)-EXP(1/R33)</f>
        <v>-6.2259375952537555E-2</v>
      </c>
      <c r="T33" s="1" t="str">
        <f t="shared" ref="T33:T36" si="30">IF(ABS(R32 - R33) &lt; $P$25, "выполнено", "не выполнено")</f>
        <v>не выполнено</v>
      </c>
      <c r="U33" s="1">
        <v>3</v>
      </c>
      <c r="X33" s="1">
        <f>X27^3 - 3 * X27 - 2* EXP(-X27)</f>
        <v>-2.7357588823428847</v>
      </c>
      <c r="Y33" s="1">
        <f>Y27^3 - 3 * Y27 - 2* EXP(-Y27)</f>
        <v>1.7293294335267746</v>
      </c>
      <c r="Z33" s="1">
        <f>X33^3 - 3 * X33- 2* EXP(-X33)</f>
        <v>-43.111057398723759</v>
      </c>
      <c r="AA33" s="1">
        <f>Y33^3 - 3 * Y33 - 2* EXP(-Y33)</f>
        <v>-0.37109644398101993</v>
      </c>
      <c r="AB33" s="1">
        <f>X33-(Z33*(X33-Y33)/(Z33-AA33))</f>
        <v>1.7680982662319558</v>
      </c>
      <c r="AC33" s="1">
        <f>AB33^3 - 3 * AB33 - 2* EXP(-AB33)</f>
        <v>-0.11823087669908716</v>
      </c>
      <c r="AD33" s="1" t="str">
        <f>IF(ABS(X33 - AB33) &lt; $Z$27, "выполнено", "не выполнено")</f>
        <v>не выполнено</v>
      </c>
      <c r="AE33" s="1">
        <v>1</v>
      </c>
    </row>
    <row r="34" spans="3:31" x14ac:dyDescent="0.25">
      <c r="C34" s="1">
        <f t="shared" ref="C34:C39" si="31">IF(E33 *H33 &lt; 0, C33, G33)</f>
        <v>3.7777777777777777</v>
      </c>
      <c r="D34" s="1">
        <f t="shared" ref="D34:D39" si="32">IF(E33*H33&lt;0,G33,D33)</f>
        <v>6</v>
      </c>
      <c r="E34" s="1">
        <f t="shared" ref="E34:E39" si="33">(C34)^2-5*C34+4</f>
        <v>-0.61728395061728492</v>
      </c>
      <c r="F34" s="1">
        <f t="shared" ref="F34:F39" si="34">(D34)^2-5*D34+4</f>
        <v>10</v>
      </c>
      <c r="G34" s="1">
        <f t="shared" ref="G34:G39" si="35">C34-(E34*(C34-D34)/(E34-F34))</f>
        <v>3.9069767441860468</v>
      </c>
      <c r="H34" s="1">
        <f t="shared" ref="H34:H40" si="36">(G34)^2-5*G34+4</f>
        <v>-0.27041644131963238</v>
      </c>
      <c r="I34" s="1" t="str">
        <f t="shared" ref="I34:I39" si="37">IF(ABS(G33 - G34) &lt; $E$26, "выполнено", "не выполнено")</f>
        <v>не выполнено</v>
      </c>
      <c r="J34" s="1">
        <v>3</v>
      </c>
      <c r="N34" s="1">
        <f t="shared" si="24"/>
        <v>-0.69922048613844323</v>
      </c>
      <c r="O34" s="1">
        <f t="shared" si="25"/>
        <v>0.7</v>
      </c>
      <c r="P34" s="1">
        <f t="shared" si="26"/>
        <v>-6.2259375952537555E-2</v>
      </c>
      <c r="Q34" s="1">
        <f t="shared" si="27"/>
        <v>1.49393278306857</v>
      </c>
      <c r="R34" s="1">
        <f t="shared" si="28"/>
        <v>-0.64324115621958322</v>
      </c>
      <c r="S34" s="1">
        <f t="shared" si="29"/>
        <v>5.8386153345271197E-3</v>
      </c>
      <c r="T34" s="1" t="str">
        <f t="shared" si="30"/>
        <v>не выполнено</v>
      </c>
      <c r="U34" s="1">
        <v>4</v>
      </c>
      <c r="X34" s="1">
        <f>IF(Z33 *AC33 &lt; 0, X33, AB33)</f>
        <v>1.7680982662319558</v>
      </c>
      <c r="Y34" s="1">
        <f>IF(Z33*AC33&lt;0,AB33,Y33)</f>
        <v>1.7293294335267746</v>
      </c>
      <c r="Z34" s="1">
        <f>X34^3 - 3 * X34 - 2* EXP(-X34)</f>
        <v>-0.11823087669908716</v>
      </c>
      <c r="AA34" s="1">
        <f>Y34^3 - 3 * Y34 - 2* EXP(-Y34)</f>
        <v>-0.37109644398101993</v>
      </c>
      <c r="AB34" s="1">
        <f>X34-(Z34*(X34-Y34)/(Z34-AA34))</f>
        <v>1.7862251829513969</v>
      </c>
      <c r="AC34" s="1">
        <f>AB34^3 - 3 * AB34 - 2* EXP(-AB34)</f>
        <v>5.272032303816232E-3</v>
      </c>
      <c r="AD34" s="1" t="str">
        <f>IF(ABS(AB33 - AB34) &lt; $Z$27, "выполнено", "не выполнено")</f>
        <v>не выполнено</v>
      </c>
      <c r="AE34" s="1">
        <v>2</v>
      </c>
    </row>
    <row r="35" spans="3:31" x14ac:dyDescent="0.25">
      <c r="C35" s="1">
        <f t="shared" si="31"/>
        <v>3.9069767441860468</v>
      </c>
      <c r="D35" s="1">
        <f t="shared" si="32"/>
        <v>6</v>
      </c>
      <c r="E35" s="1">
        <f t="shared" si="33"/>
        <v>-0.27041644131963238</v>
      </c>
      <c r="F35" s="1">
        <f t="shared" si="34"/>
        <v>10</v>
      </c>
      <c r="G35" s="1">
        <f t="shared" si="35"/>
        <v>3.9620853080568725</v>
      </c>
      <c r="H35" s="1">
        <f t="shared" si="36"/>
        <v>-0.11230655196423811</v>
      </c>
      <c r="I35" s="1" t="str">
        <f t="shared" si="37"/>
        <v>не выполнено</v>
      </c>
      <c r="J35" s="1">
        <v>4</v>
      </c>
      <c r="N35" s="1">
        <f t="shared" si="24"/>
        <v>-0.69922048613844323</v>
      </c>
      <c r="O35" s="1">
        <f t="shared" si="25"/>
        <v>-0.64324115621958322</v>
      </c>
      <c r="P35" s="1">
        <f t="shared" si="26"/>
        <v>-6.2259375952537555E-2</v>
      </c>
      <c r="Q35" s="1">
        <f t="shared" si="27"/>
        <v>5.8386153345271197E-3</v>
      </c>
      <c r="R35" s="1">
        <f t="shared" si="28"/>
        <v>-0.64804073647009341</v>
      </c>
      <c r="S35" s="1">
        <f t="shared" si="29"/>
        <v>-1.5256347391445768E-4</v>
      </c>
      <c r="T35" s="1" t="str">
        <f t="shared" si="30"/>
        <v>не выполнено</v>
      </c>
      <c r="U35" s="1">
        <v>5</v>
      </c>
      <c r="X35" s="1">
        <f t="shared" ref="X35" si="38">IF(Z34 *AC34 &lt; 0, X34, AB34)</f>
        <v>1.7680982662319558</v>
      </c>
      <c r="Y35" s="1">
        <f t="shared" ref="Y35" si="39">IF(Z34*AC34&lt;0,AB34,Y34)</f>
        <v>1.7862251829513969</v>
      </c>
      <c r="Z35" s="1">
        <f t="shared" ref="Z35" si="40">X35^3 - 3 * X35 - 2* EXP(-X35)</f>
        <v>-0.11823087669908716</v>
      </c>
      <c r="AA35" s="1">
        <f t="shared" ref="AA35" si="41">Y35^3 - 3 * Y35 - 2* EXP(-Y35)</f>
        <v>5.272032303816232E-3</v>
      </c>
      <c r="AB35" s="1">
        <f t="shared" ref="AB35" si="42">X35-(Z35*(X35-Y35)/(Z35-AA35))</f>
        <v>1.7854513899186253</v>
      </c>
      <c r="AC35" s="1">
        <f t="shared" ref="AC35" si="43">AB35^3 - 3 * AB35 - 2* EXP(-AB35)</f>
        <v>-6.9436417867996258E-5</v>
      </c>
      <c r="AD35" s="1" t="str">
        <f t="shared" ref="AD35" si="44">IF(ABS(AB34 - AB35) &lt; $Z$27, "выполнено", "не выполнено")</f>
        <v>выполнено</v>
      </c>
      <c r="AE35" s="1">
        <v>3</v>
      </c>
    </row>
    <row r="36" spans="3:31" x14ac:dyDescent="0.25">
      <c r="C36" s="1">
        <f t="shared" si="31"/>
        <v>3.9620853080568725</v>
      </c>
      <c r="D36" s="1">
        <f t="shared" si="32"/>
        <v>6</v>
      </c>
      <c r="E36" s="1">
        <f t="shared" si="33"/>
        <v>-0.11230655196423811</v>
      </c>
      <c r="F36" s="1">
        <f t="shared" si="34"/>
        <v>10</v>
      </c>
      <c r="G36" s="1">
        <f t="shared" si="35"/>
        <v>3.9847182425978986</v>
      </c>
      <c r="H36" s="1">
        <f t="shared" si="36"/>
        <v>-4.5611740097006859E-2</v>
      </c>
      <c r="I36" s="1" t="str">
        <f t="shared" si="37"/>
        <v>не выполнено</v>
      </c>
      <c r="J36" s="1">
        <v>5</v>
      </c>
      <c r="N36" s="1">
        <f t="shared" si="24"/>
        <v>-0.64804073647009341</v>
      </c>
      <c r="O36" s="1">
        <f t="shared" si="25"/>
        <v>-0.64324115621958322</v>
      </c>
      <c r="P36" s="1">
        <f t="shared" si="26"/>
        <v>-1.5256347391445768E-4</v>
      </c>
      <c r="Q36" s="1">
        <f t="shared" si="27"/>
        <v>5.8386153345271197E-3</v>
      </c>
      <c r="R36" s="1">
        <f t="shared" si="28"/>
        <v>-0.64791851667666689</v>
      </c>
      <c r="S36" s="1">
        <f t="shared" si="29"/>
        <v>-3.5824054681055095E-7</v>
      </c>
      <c r="T36" s="1" t="str">
        <f t="shared" si="30"/>
        <v>выполнено</v>
      </c>
      <c r="U36" s="1">
        <v>6</v>
      </c>
    </row>
    <row r="37" spans="3:31" x14ac:dyDescent="0.25">
      <c r="C37" s="1">
        <f t="shared" si="31"/>
        <v>3.9847182425978986</v>
      </c>
      <c r="D37" s="1">
        <f t="shared" si="32"/>
        <v>6</v>
      </c>
      <c r="E37" s="1">
        <f t="shared" si="33"/>
        <v>-4.5611740097006859E-2</v>
      </c>
      <c r="F37" s="1">
        <f t="shared" si="34"/>
        <v>10</v>
      </c>
      <c r="G37" s="1">
        <f t="shared" si="35"/>
        <v>3.9938685571948649</v>
      </c>
      <c r="H37" s="1">
        <f t="shared" si="36"/>
        <v>-1.8356733824530735E-2</v>
      </c>
      <c r="I37" s="1" t="str">
        <f t="shared" si="37"/>
        <v>не выполнено</v>
      </c>
      <c r="J37" s="1">
        <v>6</v>
      </c>
      <c r="X37" s="4" t="s">
        <v>15</v>
      </c>
      <c r="Y37" s="4"/>
    </row>
    <row r="38" spans="3:31" x14ac:dyDescent="0.25">
      <c r="C38" s="1">
        <f t="shared" si="31"/>
        <v>3.9938685571948649</v>
      </c>
      <c r="D38" s="1">
        <f t="shared" si="32"/>
        <v>6</v>
      </c>
      <c r="E38" s="1">
        <f t="shared" si="33"/>
        <v>-1.8356733824530735E-2</v>
      </c>
      <c r="F38" s="1">
        <f t="shared" si="34"/>
        <v>10</v>
      </c>
      <c r="G38" s="1">
        <f t="shared" si="35"/>
        <v>3.9975444116180023</v>
      </c>
      <c r="H38" s="1">
        <f t="shared" si="36"/>
        <v>-7.3607352316908958E-3</v>
      </c>
      <c r="I38" s="1" t="str">
        <f t="shared" si="37"/>
        <v>не выполнено</v>
      </c>
      <c r="J38" s="1">
        <v>7</v>
      </c>
      <c r="N38" s="4" t="s">
        <v>15</v>
      </c>
      <c r="O38" s="4"/>
    </row>
    <row r="39" spans="3:31" x14ac:dyDescent="0.25">
      <c r="C39" s="1">
        <f t="shared" si="31"/>
        <v>3.9975444116180023</v>
      </c>
      <c r="D39" s="1">
        <f t="shared" si="32"/>
        <v>6</v>
      </c>
      <c r="E39" s="1">
        <f t="shared" si="33"/>
        <v>-7.3607352316908958E-3</v>
      </c>
      <c r="F39" s="1">
        <f t="shared" si="34"/>
        <v>10</v>
      </c>
      <c r="G39" s="1">
        <f t="shared" si="35"/>
        <v>3.9990172820170287</v>
      </c>
      <c r="H39" s="1">
        <f t="shared" si="36"/>
        <v>-2.9471882142804162E-3</v>
      </c>
      <c r="I39" s="1" t="str">
        <f t="shared" si="37"/>
        <v>не выполнено</v>
      </c>
      <c r="J39" s="1">
        <v>8</v>
      </c>
    </row>
    <row r="40" spans="3:31" x14ac:dyDescent="0.25">
      <c r="C40" s="1">
        <f t="shared" ref="C40" si="45">IF(E39 *H39 &lt; 0, C39, G39)</f>
        <v>3.9990172820170287</v>
      </c>
      <c r="D40" s="1">
        <f t="shared" ref="D40" si="46">IF(E39*H39&lt;0,G39,D39)</f>
        <v>6</v>
      </c>
      <c r="E40" s="1">
        <f t="shared" ref="E40" si="47">(C40)^2-5*C40+4</f>
        <v>-2.9471882142804162E-3</v>
      </c>
      <c r="F40" s="1">
        <f t="shared" ref="F40" si="48">(D40)^2-5*D40+4</f>
        <v>10</v>
      </c>
      <c r="G40" s="1">
        <f t="shared" ref="G40" si="49">C40-(E40*(C40-D40)/(E40-F40))</f>
        <v>3.9996068355328531</v>
      </c>
      <c r="H40" s="1">
        <f t="shared" si="36"/>
        <v>-1.1793388231424728E-3</v>
      </c>
      <c r="I40" s="1" t="str">
        <f t="shared" ref="I40" si="50">IF(ABS(G39 - G40) &lt; $E$26, "выполнено", "не выполнено")</f>
        <v>выполнено</v>
      </c>
      <c r="J40" s="1">
        <v>9</v>
      </c>
    </row>
    <row r="42" spans="3:31" x14ac:dyDescent="0.25">
      <c r="C42" s="4" t="s">
        <v>14</v>
      </c>
      <c r="D42" s="4"/>
    </row>
  </sheetData>
  <mergeCells count="6">
    <mergeCell ref="C16:D16"/>
    <mergeCell ref="N17:O17"/>
    <mergeCell ref="X19:Y19"/>
    <mergeCell ref="C42:D42"/>
    <mergeCell ref="N38:O38"/>
    <mergeCell ref="X37:Y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Пользователь</cp:lastModifiedBy>
  <dcterms:created xsi:type="dcterms:W3CDTF">2015-06-05T18:19:34Z</dcterms:created>
  <dcterms:modified xsi:type="dcterms:W3CDTF">2026-09-28T08:24:56Z</dcterms:modified>
</cp:coreProperties>
</file>